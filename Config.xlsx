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Documents\devcode\PlantillaFlujos2025UiPath\"/>
    </mc:Choice>
  </mc:AlternateContent>
  <xr:revisionPtr revIDLastSave="0" documentId="13_ncr:1_{D15226FD-371C-4E2A-9C85-B42A9960BD04}" xr6:coauthVersionLast="47" xr6:coauthVersionMax="47" xr10:uidLastSave="{00000000-0000-0000-0000-000000000000}"/>
  <bookViews>
    <workbookView xWindow="-120" yWindow="-120" windowWidth="27930" windowHeight="16440" tabRatio="798" activeTab="2" xr2:uid="{00000000-000D-0000-FFFF-FFFF00000000}"/>
  </bookViews>
  <sheets>
    <sheet name="Settings" sheetId="1" r:id="rId1"/>
    <sheet name="Constants" sheetId="2" r:id="rId2"/>
    <sheet name="AssetsShared" sheetId="3" r:id="rId3"/>
    <sheet name="AssetsUnidadNegocio" sheetId="5" r:id="rId4"/>
    <sheet name="Credenciales" sheetId="4" r:id="rId5"/>
    <sheet name="CRUD" sheetId="6" r:id="rId6"/>
  </sheets>
  <definedNames>
    <definedName name="_xlnm._FilterDatabase" localSheetId="2" hidden="1">AssetsShared!$A$1:$H$18</definedName>
    <definedName name="_xlnm._FilterDatabase" localSheetId="3" hidden="1">AssetsUnidadNegocio!$A$1:$H$4</definedName>
    <definedName name="_xlnm._FilterDatabase" localSheetId="4" hidden="1">Credenciales!$A$1:$G$7</definedName>
    <definedName name="_xlnm._FilterDatabase" localSheetId="5" hidden="1">CRUD!$A$2:$M$2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5" l="1"/>
  <c r="I3" i="4"/>
  <c r="I4" i="4"/>
  <c r="I5" i="4"/>
  <c r="I6" i="4"/>
  <c r="I7" i="4"/>
  <c r="I2" i="4"/>
  <c r="J2" i="5"/>
  <c r="J3" i="5"/>
  <c r="J4" i="5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" i="3"/>
  <c r="E8" i="2"/>
  <c r="E9" i="2"/>
  <c r="E10" i="2"/>
  <c r="E11" i="2"/>
  <c r="E12" i="2"/>
  <c r="E13" i="2"/>
  <c r="E7" i="2"/>
  <c r="E3" i="2"/>
  <c r="E4" i="2"/>
  <c r="E5" i="2"/>
  <c r="E6" i="2"/>
  <c r="E14" i="2"/>
  <c r="E15" i="2"/>
  <c r="E16" i="2"/>
  <c r="E17" i="2"/>
  <c r="E18" i="2"/>
  <c r="E19" i="2"/>
  <c r="E20" i="2"/>
  <c r="E2" i="2"/>
  <c r="E3" i="1"/>
  <c r="E4" i="1"/>
  <c r="E5" i="1"/>
  <c r="E6" i="1"/>
  <c r="E7" i="1"/>
  <c r="E8" i="1"/>
  <c r="E9" i="1"/>
  <c r="E10" i="1"/>
  <c r="E2" i="1"/>
  <c r="C4" i="2"/>
  <c r="C20" i="2"/>
  <c r="B10" i="2" l="1"/>
  <c r="B11" i="2"/>
  <c r="B13" i="2"/>
  <c r="B12" i="2"/>
  <c r="B9" i="2"/>
  <c r="B8" i="2"/>
  <c r="B7" i="2"/>
  <c r="B6" i="2"/>
  <c r="B5" i="2"/>
</calcChain>
</file>

<file path=xl/sharedStrings.xml><?xml version="1.0" encoding="utf-8"?>
<sst xmlns="http://schemas.openxmlformats.org/spreadsheetml/2006/main" count="357" uniqueCount="169">
  <si>
    <t>Name</t>
  </si>
  <si>
    <t>Value</t>
  </si>
  <si>
    <t>Asset</t>
  </si>
  <si>
    <t>Description</t>
  </si>
  <si>
    <t>LogMessage_GetTransactionDataError</t>
  </si>
  <si>
    <t>Error en la data…</t>
  </si>
  <si>
    <t>LogMessage_Success</t>
  </si>
  <si>
    <t>LogMessage_BusinessRuleException</t>
  </si>
  <si>
    <t>LogMessage_ApplicationException</t>
  </si>
  <si>
    <t>BodyFestivos</t>
  </si>
  <si>
    <t>SubjectFestivos</t>
  </si>
  <si>
    <t>MaxRetryNumber</t>
  </si>
  <si>
    <t>Ruta que contiene las carpetas de la Estructura.</t>
  </si>
  <si>
    <t>Asset Type</t>
  </si>
  <si>
    <t>Asset Scope</t>
  </si>
  <si>
    <t>Credential</t>
  </si>
  <si>
    <t>Texto</t>
  </si>
  <si>
    <t>RutaSS</t>
  </si>
  <si>
    <t>RutaVideo</t>
  </si>
  <si>
    <t>RutaInputs</t>
  </si>
  <si>
    <t>RutaOutputs</t>
  </si>
  <si>
    <t>RutaCert</t>
  </si>
  <si>
    <t>RutaCodec</t>
  </si>
  <si>
    <t>EmailServerName</t>
  </si>
  <si>
    <t>ProcessName</t>
  </si>
  <si>
    <t>Default Value</t>
  </si>
  <si>
    <t>Global</t>
  </si>
  <si>
    <t>Servidor utilizado para el servicio de correo.</t>
  </si>
  <si>
    <t>Ruta donde se guardarán las capturas de pantalla</t>
  </si>
  <si>
    <t>Ruta donde se guardarán los vídeos</t>
  </si>
  <si>
    <t>Ruta donde se guardarán los insumos utilizados (descargas)</t>
  </si>
  <si>
    <t>Ruta donde se guardarán los certificados para autenticar.</t>
  </si>
  <si>
    <t>Ruta donde se ubica el codec de vídeo para grabar pantalla</t>
  </si>
  <si>
    <t>Set Transaction Status Success</t>
  </si>
  <si>
    <t>Set Transaction Status System Exception</t>
  </si>
  <si>
    <t>Set Transaction Status Business Rule Exception</t>
  </si>
  <si>
    <t>Boolean</t>
  </si>
  <si>
    <t>AssetFolder</t>
  </si>
  <si>
    <t>¿Dónde Se Usan?</t>
  </si>
  <si>
    <t>LogMessage_GetTransactionData</t>
  </si>
  <si>
    <t>Transacción iniciada…</t>
  </si>
  <si>
    <t>Se anexan resultados de ejecución de &lt;Modulo&gt;</t>
  </si>
  <si>
    <t>Reporte de Resultados de &lt;Modulo&gt;</t>
  </si>
  <si>
    <t>True</t>
  </si>
  <si>
    <t>Ruta del Archivo de Excel</t>
  </si>
  <si>
    <t>Integer</t>
  </si>
  <si>
    <t>StringConnection</t>
  </si>
  <si>
    <t>Cadena de conexión a Base de Datos</t>
  </si>
  <si>
    <t>EmailSubjectGeneral</t>
  </si>
  <si>
    <t>EmailBodyGeneral</t>
  </si>
  <si>
    <t>PathConfig</t>
  </si>
  <si>
    <t>False</t>
  </si>
  <si>
    <t>Ruta donde se guardarán los archivos generados</t>
  </si>
  <si>
    <t>Título del correo que enviará el proceso</t>
  </si>
  <si>
    <t>Cuerpo del correo que enviará el proceso</t>
  </si>
  <si>
    <t>SiglasProcessName</t>
  </si>
  <si>
    <t>EmailSubjectGeneral_Global</t>
  </si>
  <si>
    <t>EmailBodyGeneral_Global</t>
  </si>
  <si>
    <t>LoginRetryNumber</t>
  </si>
  <si>
    <t>Reintentos para autenticar en los sistemas web</t>
  </si>
  <si>
    <t>Reintenos de ejecuciones del robot</t>
  </si>
  <si>
    <t>TiempoEsperaCorreoCaptcha</t>
  </si>
  <si>
    <t>Tiempo en minutos máximo que el robot esperará por respuesta a la solicitud de Captcha</t>
  </si>
  <si>
    <t>DominioPermitido</t>
  </si>
  <si>
    <t>Office365API_ApplicationID</t>
  </si>
  <si>
    <t>ID de conexión al API de Azure para comunicación de Correo</t>
  </si>
  <si>
    <t>Office365API_ApplicationTenant</t>
  </si>
  <si>
    <t>ID del Tenant del API de Azure para comunicación de Correo</t>
  </si>
  <si>
    <t>Office365API_SecretKey</t>
  </si>
  <si>
    <t>Secret Key del API de Azure para comunicación de Correo</t>
  </si>
  <si>
    <t>PuertoSMTP</t>
  </si>
  <si>
    <t>Puerto SMTP para envío de Correos en caso de que Exchange Falle.</t>
  </si>
  <si>
    <t>ServidorSMTP</t>
  </si>
  <si>
    <t>Servidor SMTP para envío de Correos en caso de que Exchange Falle.</t>
  </si>
  <si>
    <t>InboxFolderName</t>
  </si>
  <si>
    <t>Nombre de la Carpeta Inbox en el Correo de la cuenta (Inbox, Bandeja de Entrada, etc).</t>
  </si>
  <si>
    <t>Bandeja de entrada</t>
  </si>
  <si>
    <t>Dominio permitido para responderle correo de Login al Robot</t>
  </si>
  <si>
    <t>RutaCarpetasModulo</t>
  </si>
  <si>
    <t>GenerarGrabacion</t>
  </si>
  <si>
    <t>EmailCC</t>
  </si>
  <si>
    <t>Correos de usuarios de Negocio, separados por ; y sin espacios, de quienes deben recibir el reporte.</t>
  </si>
  <si>
    <t>EmailTo</t>
  </si>
  <si>
    <t>Asset que controla si desea o no generar grabación de vídeo.</t>
  </si>
  <si>
    <t>Core System</t>
  </si>
  <si>
    <t>TimeOut</t>
  </si>
  <si>
    <t>TimeOut_General</t>
  </si>
  <si>
    <t>Monto en milisegundos (1000 = segundo) que indica el tiempo máximo de espera en los controladores web de los robots.</t>
  </si>
  <si>
    <t>GenerarGrabacion_General</t>
  </si>
  <si>
    <t>DynamicConfig</t>
  </si>
  <si>
    <t>DynamicConfig.xlsx</t>
  </si>
  <si>
    <t>Nombre del Excel de Configuración Dinámica para l Flujo; debe estar en el Storage Bucket</t>
  </si>
  <si>
    <t>NombreStorageBucket</t>
  </si>
  <si>
    <t>Nombre del Storage Bucket donde están los insumos para este Flujo</t>
  </si>
  <si>
    <t>HojaDynamicConfig</t>
  </si>
  <si>
    <t>Nombre Hoja del Excel de Dynamic Config</t>
  </si>
  <si>
    <t>Project Setting</t>
  </si>
  <si>
    <t>A1</t>
  </si>
  <si>
    <t>CeldaDynamicConfig</t>
  </si>
  <si>
    <t>Celda donde inicia la tabla de Dynamic Config</t>
  </si>
  <si>
    <t>NombrePrimerColumnaTablaDynamicConfig</t>
  </si>
  <si>
    <t>Nombre</t>
  </si>
  <si>
    <t>Valor del texto de la primer columna de la tabla. Para Value de Diccionario</t>
  </si>
  <si>
    <t>Valor</t>
  </si>
  <si>
    <t>NombreSegundaColumnaTablaDynamicConfig</t>
  </si>
  <si>
    <t>Valor del texto de la primer columna de la tabla. Para filtro de Vacíos y Key de Diccionario</t>
  </si>
  <si>
    <t>DominioPermitido_General</t>
  </si>
  <si>
    <t>TiempoEsperaCorreoCaptcha_General</t>
  </si>
  <si>
    <t>EmailCC_P</t>
  </si>
  <si>
    <t>EmailTo_P</t>
  </si>
  <si>
    <t>NombreStorageBucket_P</t>
  </si>
  <si>
    <t>Plantilla</t>
  </si>
  <si>
    <t>P1</t>
  </si>
  <si>
    <t>EmailCCO</t>
  </si>
  <si>
    <t>OrchestratorQueueName</t>
  </si>
  <si>
    <t>""</t>
  </si>
  <si>
    <t>Nombre de la Queue que usa el Proyecto</t>
  </si>
  <si>
    <t>Shared</t>
  </si>
  <si>
    <t>OrchestratorFolder_Shared</t>
  </si>
  <si>
    <t>CredencialesCorreoGlobales</t>
  </si>
  <si>
    <t>CorreoRobot</t>
  </si>
  <si>
    <t>C:\RPA\Dev\EstructuraProcesos\</t>
  </si>
  <si>
    <t>Estructura_Plantilla</t>
  </si>
  <si>
    <t>CarpetaFlujoAutomatizado</t>
  </si>
  <si>
    <t>Carpeta en Orquestador para Assets Compartidos</t>
  </si>
  <si>
    <t>Subject para correo de alerta de días festivos</t>
  </si>
  <si>
    <t>Body para correo de alerta de días festivos</t>
  </si>
  <si>
    <t>PermitirFinesDeSemana</t>
  </si>
  <si>
    <t>PermitirFinesDeSemana_General</t>
  </si>
  <si>
    <t>Control para indicar si se permite la ejecución en fin de semana. (True= sí, False = no)</t>
  </si>
  <si>
    <t>Project Setting: Plantilla</t>
  </si>
  <si>
    <t>URL de la website con los Avisos de Oferta Publica de Grupo BMV</t>
  </si>
  <si>
    <t>AccesoBaseDatos</t>
  </si>
  <si>
    <t>CredencialesBaseDatos</t>
  </si>
  <si>
    <t>Credenciales de la Base de Datos</t>
  </si>
  <si>
    <t>CustomAssetConfig</t>
  </si>
  <si>
    <t>FullPath</t>
  </si>
  <si>
    <t>CredencialesAPIMAID</t>
  </si>
  <si>
    <t>CredencialesClientMAID</t>
  </si>
  <si>
    <t>Credenciales del Correo del Robot</t>
  </si>
  <si>
    <t>Browser</t>
  </si>
  <si>
    <t>SetAccess:AccesoBaseDatos</t>
  </si>
  <si>
    <t>Seleccionar entre { "Chrome", "Edge", "Firefox" } el navegador que desea usar en las ejecuciones de Robots</t>
  </si>
  <si>
    <t>Firefox</t>
  </si>
  <si>
    <t>ExisteAsset</t>
  </si>
  <si>
    <t>Existente o Crear</t>
  </si>
  <si>
    <t>Nuevo Valor al Editar</t>
  </si>
  <si>
    <t>Acción</t>
  </si>
  <si>
    <t>Asset Name</t>
  </si>
  <si>
    <t>Asset Name Update</t>
  </si>
  <si>
    <t>Crear</t>
  </si>
  <si>
    <t>Editar</t>
  </si>
  <si>
    <t>Eliminar</t>
  </si>
  <si>
    <t>EmailCCO_General</t>
  </si>
  <si>
    <t>UrlWebApp</t>
  </si>
  <si>
    <t>OrchestratorFolder_UnidadNegocio</t>
  </si>
  <si>
    <t>AutenticarWebApp</t>
  </si>
  <si>
    <t>correo1@dominio.com;correo2@dominio.com</t>
  </si>
  <si>
    <t>AppWeb</t>
  </si>
  <si>
    <t>CredencialesAppWebGlobales</t>
  </si>
  <si>
    <t>Credenciales de AppWeb</t>
  </si>
  <si>
    <t>CertificadoAppWeb</t>
  </si>
  <si>
    <t>CredencialesCertificadoAppWebGlobal</t>
  </si>
  <si>
    <t>Credenciales del Certificado para AppWeb</t>
  </si>
  <si>
    <t>Llamada en Código</t>
  </si>
  <si>
    <t>ApiMAID</t>
  </si>
  <si>
    <t>Credenciales de Acceso al Access Token del API de NLP</t>
  </si>
  <si>
    <t>ClientMAID</t>
  </si>
  <si>
    <t>Credenciales del Cliente API de NLP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</si>
</sst>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8"/>
      <name val="Calibri"/>
    </font>
    <font>
      <b/>
      <sz val="14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3" borderId="0" xfId="0" applyFont="1" applyFill="1" applyAlignment="1" applyProtection="1">
      <alignment horizontal="center" vertical="center"/>
      <protection locked="0"/>
    </xf>
    <xf numFmtId="0" fontId="0" fillId="2" borderId="0" xfId="0" applyFill="1" applyProtection="1"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wrapText="1"/>
      <protection locked="0"/>
    </xf>
    <xf numFmtId="0" fontId="6" fillId="4" borderId="0" xfId="0" applyFont="1" applyFill="1" applyProtection="1">
      <protection locked="0"/>
    </xf>
    <xf numFmtId="0" fontId="8" fillId="2" borderId="0" xfId="0" applyFont="1" applyFill="1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left"/>
      <protection locked="0"/>
    </xf>
    <xf numFmtId="0" fontId="5" fillId="2" borderId="0" xfId="0" quotePrefix="1" applyFont="1" applyFill="1" applyAlignment="1" applyProtection="1">
      <alignment horizontal="left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11" fontId="3" fillId="2" borderId="0" xfId="0" applyNumberFormat="1" applyFont="1" applyFill="1" applyAlignment="1" applyProtection="1">
      <alignment horizontal="left" vertical="center"/>
      <protection locked="0"/>
    </xf>
    <xf numFmtId="0" fontId="5" fillId="2" borderId="0" xfId="0" applyFont="1" applyFill="1"/>
    <xf numFmtId="0" fontId="0" fillId="2" borderId="0" xfId="0" applyFill="1"/>
    <xf numFmtId="0" fontId="5" fillId="2" borderId="0" xfId="0" applyFont="1" applyFill="1" applyAlignment="1">
      <alignment horizontal="center"/>
    </xf>
    <xf numFmtId="0" fontId="6" fillId="2" borderId="0" xfId="0" applyFont="1" applyFill="1"/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/>
    <xf numFmtId="49" fontId="3" fillId="2" borderId="0" xfId="0" applyNumberFormat="1" applyFont="1" applyFill="1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1" fontId="1" fillId="2" borderId="0" xfId="0" applyNumberFormat="1" applyFont="1" applyFill="1" applyAlignment="1" applyProtection="1">
      <alignment horizontal="left" vertical="center" wrapText="1"/>
      <protection locked="0"/>
    </xf>
    <xf numFmtId="0" fontId="0" fillId="5" borderId="0" xfId="0" applyFill="1"/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6" fillId="8" borderId="6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6" fillId="8" borderId="0" xfId="0" applyFont="1" applyFill="1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/>
    </xf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"/>
  <sheetViews>
    <sheetView zoomScaleNormal="100" workbookViewId="0">
      <selection activeCell="E1" sqref="E1:E2"/>
    </sheetView>
  </sheetViews>
  <sheetFormatPr defaultColWidth="14.42578125" defaultRowHeight="15" customHeight="1" x14ac:dyDescent="0.25"/>
  <cols>
    <col min="1" max="1" width="34.85546875" style="2" bestFit="1" customWidth="1"/>
    <col min="2" max="2" width="47.85546875" style="2" bestFit="1" customWidth="1"/>
    <col min="3" max="3" width="43.28515625" style="2" bestFit="1" customWidth="1"/>
    <col min="4" max="4" width="20.85546875" style="12" bestFit="1" customWidth="1"/>
    <col min="5" max="5" width="55.140625" style="2" bestFit="1" customWidth="1"/>
    <col min="6" max="23" width="8.7109375" style="2" customWidth="1"/>
    <col min="24" max="16384" width="14.42578125" style="2"/>
  </cols>
  <sheetData>
    <row r="1" spans="1:23" s="8" customFormat="1" ht="14.25" customHeight="1" x14ac:dyDescent="0.25">
      <c r="A1" s="1" t="s">
        <v>0</v>
      </c>
      <c r="B1" s="1" t="s">
        <v>1</v>
      </c>
      <c r="C1" s="1" t="s">
        <v>3</v>
      </c>
      <c r="D1" s="1" t="s">
        <v>38</v>
      </c>
      <c r="E1" s="1" t="s">
        <v>164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14.25" customHeight="1" x14ac:dyDescent="0.25">
      <c r="A2" s="2" t="s">
        <v>39</v>
      </c>
      <c r="B2" s="2" t="s">
        <v>40</v>
      </c>
      <c r="D2" s="6" t="s">
        <v>84</v>
      </c>
      <c r="E2" s="2" t="str">
        <f>"dicConfig(" &amp; CHAR(34) &amp; A2 &amp; CHAR(34) &amp; ").ToString"</f>
        <v>dicConfig("LogMessage_GetTransactionData").ToString</v>
      </c>
    </row>
    <row r="3" spans="1:23" ht="14.25" customHeight="1" x14ac:dyDescent="0.25">
      <c r="A3" s="2" t="s">
        <v>4</v>
      </c>
      <c r="B3" s="2" t="s">
        <v>5</v>
      </c>
      <c r="D3" s="6" t="s">
        <v>84</v>
      </c>
      <c r="E3" s="2" t="str">
        <f t="shared" ref="E3:E10" si="0">"dicConfig(" &amp; CHAR(34) &amp; A3 &amp; CHAR(34) &amp; ").ToString"</f>
        <v>dicConfig("LogMessage_GetTransactionDataError").ToString</v>
      </c>
    </row>
    <row r="4" spans="1:23" ht="14.25" customHeight="1" x14ac:dyDescent="0.25">
      <c r="A4" s="2" t="s">
        <v>6</v>
      </c>
      <c r="B4" s="2" t="s">
        <v>33</v>
      </c>
      <c r="D4" s="6" t="s">
        <v>84</v>
      </c>
      <c r="E4" s="2" t="str">
        <f t="shared" si="0"/>
        <v>dicConfig("LogMessage_Success").ToString</v>
      </c>
    </row>
    <row r="5" spans="1:23" ht="14.25" customHeight="1" x14ac:dyDescent="0.25">
      <c r="A5" s="2" t="s">
        <v>7</v>
      </c>
      <c r="B5" s="2" t="s">
        <v>35</v>
      </c>
      <c r="D5" s="6" t="s">
        <v>84</v>
      </c>
      <c r="E5" s="2" t="str">
        <f t="shared" si="0"/>
        <v>dicConfig("LogMessage_BusinessRuleException").ToString</v>
      </c>
    </row>
    <row r="6" spans="1:23" ht="14.25" customHeight="1" x14ac:dyDescent="0.25">
      <c r="A6" s="2" t="s">
        <v>8</v>
      </c>
      <c r="B6" s="2" t="s">
        <v>34</v>
      </c>
      <c r="D6" s="6" t="s">
        <v>84</v>
      </c>
      <c r="E6" s="2" t="str">
        <f t="shared" si="0"/>
        <v>dicConfig("LogMessage_ApplicationException").ToString</v>
      </c>
    </row>
    <row r="7" spans="1:23" ht="14.25" customHeight="1" x14ac:dyDescent="0.25">
      <c r="A7" s="3" t="s">
        <v>55</v>
      </c>
      <c r="B7" s="9" t="s">
        <v>111</v>
      </c>
      <c r="D7" s="6" t="s">
        <v>96</v>
      </c>
      <c r="E7" s="2" t="str">
        <f t="shared" si="0"/>
        <v>dicConfig("SiglasProcessName").ToString</v>
      </c>
    </row>
    <row r="8" spans="1:23" ht="14.25" customHeight="1" x14ac:dyDescent="0.25">
      <c r="A8" s="2" t="s">
        <v>24</v>
      </c>
      <c r="B8" s="3" t="s">
        <v>112</v>
      </c>
      <c r="D8" s="6" t="s">
        <v>96</v>
      </c>
      <c r="E8" s="2" t="str">
        <f t="shared" si="0"/>
        <v>dicConfig("ProcessName").ToString</v>
      </c>
    </row>
    <row r="9" spans="1:23" ht="14.25" customHeight="1" x14ac:dyDescent="0.25">
      <c r="A9" s="3" t="s">
        <v>123</v>
      </c>
      <c r="B9" s="10" t="s">
        <v>122</v>
      </c>
      <c r="C9" s="2" t="s">
        <v>12</v>
      </c>
      <c r="D9" s="6" t="s">
        <v>96</v>
      </c>
      <c r="E9" s="2" t="str">
        <f t="shared" si="0"/>
        <v>dicConfig("CarpetaFlujoAutomatizado").ToString</v>
      </c>
    </row>
    <row r="10" spans="1:23" ht="14.25" customHeight="1" x14ac:dyDescent="0.25">
      <c r="A10" s="3" t="s">
        <v>114</v>
      </c>
      <c r="B10" s="11" t="s">
        <v>115</v>
      </c>
      <c r="C10" s="2" t="s">
        <v>116</v>
      </c>
      <c r="D10" s="6" t="s">
        <v>96</v>
      </c>
      <c r="E10" s="2" t="str">
        <f t="shared" si="0"/>
        <v>dicConfig("OrchestratorQueueName").ToString</v>
      </c>
    </row>
    <row r="11" spans="1:23" s="4" customFormat="1" ht="15" customHeight="1" x14ac:dyDescent="0.25">
      <c r="A11" s="3"/>
      <c r="B11" s="3"/>
      <c r="C11" s="3"/>
      <c r="D11" s="6"/>
    </row>
    <row r="12" spans="1:23" s="4" customFormat="1" ht="15" customHeight="1" x14ac:dyDescent="0.25">
      <c r="A12" s="3"/>
      <c r="B12" s="3"/>
      <c r="C12" s="3"/>
      <c r="D12" s="6"/>
    </row>
    <row r="13" spans="1:23" s="4" customFormat="1" ht="15" customHeight="1" x14ac:dyDescent="0.25">
      <c r="A13" s="3"/>
      <c r="B13" s="3"/>
      <c r="C13" s="3"/>
      <c r="D13" s="6"/>
    </row>
    <row r="14" spans="1:23" s="4" customFormat="1" ht="15" customHeight="1" x14ac:dyDescent="0.25">
      <c r="A14" s="3"/>
      <c r="B14" s="3"/>
      <c r="C14" s="3"/>
      <c r="D14" s="6"/>
    </row>
    <row r="15" spans="1:23" s="4" customFormat="1" ht="15" customHeight="1" x14ac:dyDescent="0.25">
      <c r="A15" s="3"/>
      <c r="B15" s="3"/>
      <c r="C15" s="3"/>
      <c r="D15" s="6"/>
    </row>
    <row r="16" spans="1:23" s="4" customFormat="1" ht="15" customHeight="1" x14ac:dyDescent="0.25">
      <c r="A16" s="3"/>
      <c r="B16" s="3"/>
      <c r="C16" s="3"/>
      <c r="D16" s="6"/>
    </row>
    <row r="17" spans="1:4" s="4" customFormat="1" ht="15" customHeight="1" x14ac:dyDescent="0.25">
      <c r="A17" s="3"/>
      <c r="B17" s="3"/>
      <c r="C17" s="3"/>
      <c r="D17" s="6"/>
    </row>
    <row r="18" spans="1:4" s="4" customFormat="1" ht="15" customHeight="1" x14ac:dyDescent="0.25">
      <c r="A18" s="3"/>
      <c r="B18" s="3"/>
      <c r="C18" s="3"/>
      <c r="D18" s="6"/>
    </row>
    <row r="19" spans="1:4" s="4" customFormat="1" ht="15" customHeight="1" x14ac:dyDescent="0.25">
      <c r="A19" s="3"/>
      <c r="B19" s="3"/>
      <c r="C19" s="3"/>
      <c r="D19" s="6"/>
    </row>
    <row r="20" spans="1:4" s="4" customFormat="1" ht="15" customHeight="1" x14ac:dyDescent="0.25">
      <c r="A20" s="3"/>
      <c r="B20" s="3"/>
      <c r="C20" s="3"/>
      <c r="D20" s="6"/>
    </row>
    <row r="21" spans="1:4" ht="15" customHeight="1" x14ac:dyDescent="0.25">
      <c r="A21" s="3"/>
      <c r="B21" s="3"/>
      <c r="C21" s="3"/>
      <c r="D21" s="6"/>
    </row>
    <row r="22" spans="1:4" ht="15" customHeight="1" x14ac:dyDescent="0.25">
      <c r="A22" s="3"/>
      <c r="B22" s="4"/>
      <c r="C22" s="3"/>
      <c r="D22" s="6"/>
    </row>
  </sheetData>
  <sheetProtection sheet="1" objects="1" scenarios="1" formatCells="0" formatColumns="0" formatRows="0" sort="0" autoFilter="0"/>
  <conditionalFormatting sqref="A1:A1048576">
    <cfRule type="duplicateValues" dxfId="30" priority="1"/>
  </conditionalFormatting>
  <conditionalFormatting sqref="A21">
    <cfRule type="duplicateValues" dxfId="29" priority="2"/>
  </conditionalFormatting>
  <conditionalFormatting sqref="A1:E1">
    <cfRule type="duplicateValues" dxfId="28" priority="36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80"/>
  <sheetViews>
    <sheetView zoomScaleNormal="100" workbookViewId="0"/>
  </sheetViews>
  <sheetFormatPr defaultColWidth="11.42578125" defaultRowHeight="15" customHeight="1" x14ac:dyDescent="0.25"/>
  <cols>
    <col min="1" max="1" width="42.5703125" style="2" customWidth="1"/>
    <col min="2" max="2" width="53.28515625" style="2" bestFit="1" customWidth="1"/>
    <col min="3" max="3" width="14.42578125" style="2" customWidth="1"/>
    <col min="4" max="4" width="21" style="2" bestFit="1" customWidth="1"/>
    <col min="5" max="5" width="62.85546875" style="2" bestFit="1" customWidth="1"/>
    <col min="6" max="16384" width="11.42578125" style="2"/>
  </cols>
  <sheetData>
    <row r="1" spans="1:5" ht="18.75" x14ac:dyDescent="0.25">
      <c r="A1" s="1" t="s">
        <v>0</v>
      </c>
      <c r="B1" s="1" t="s">
        <v>1</v>
      </c>
      <c r="C1" s="1" t="s">
        <v>3</v>
      </c>
      <c r="D1" s="1" t="s">
        <v>38</v>
      </c>
      <c r="E1" s="1" t="s">
        <v>164</v>
      </c>
    </row>
    <row r="2" spans="1:5" x14ac:dyDescent="0.25">
      <c r="A2" s="3" t="s">
        <v>11</v>
      </c>
      <c r="B2" s="3">
        <v>1</v>
      </c>
      <c r="C2" s="3" t="s">
        <v>60</v>
      </c>
      <c r="D2" s="5" t="s">
        <v>84</v>
      </c>
      <c r="E2" s="2" t="str">
        <f>"dicConfig(" &amp; CHAR(34) &amp; A2 &amp; CHAR(34) &amp; ").ToString"</f>
        <v>dicConfig("MaxRetryNumber").ToString</v>
      </c>
    </row>
    <row r="3" spans="1:5" x14ac:dyDescent="0.25">
      <c r="A3" s="3" t="s">
        <v>58</v>
      </c>
      <c r="B3" s="3">
        <v>2</v>
      </c>
      <c r="C3" s="3" t="s">
        <v>59</v>
      </c>
      <c r="D3" s="5" t="s">
        <v>84</v>
      </c>
      <c r="E3" s="2" t="str">
        <f t="shared" ref="E3:E20" si="0">"dicConfig(" &amp; CHAR(34) &amp; A3 &amp; CHAR(34) &amp; ").ToString"</f>
        <v>dicConfig("LoginRetryNumber").ToString</v>
      </c>
    </row>
    <row r="4" spans="1:5" x14ac:dyDescent="0.25">
      <c r="A4" s="3" t="s">
        <v>156</v>
      </c>
      <c r="B4" s="3" t="s">
        <v>43</v>
      </c>
      <c r="C4" s="3" t="str">
        <f>_xlfn.CONCAT("Indicar si el robot debe autenticar en ",A4)</f>
        <v>Indicar si el robot debe autenticar en AutenticarWebApp</v>
      </c>
      <c r="D4" s="5" t="s">
        <v>84</v>
      </c>
      <c r="E4" s="2" t="str">
        <f t="shared" si="0"/>
        <v>dicConfig("AutenticarWebApp").ToString</v>
      </c>
    </row>
    <row r="5" spans="1:5" x14ac:dyDescent="0.25">
      <c r="A5" s="3" t="s">
        <v>10</v>
      </c>
      <c r="B5" s="18" t="str">
        <f>CONCATENATE("Reporte de Flujo: ",Settings!B8)</f>
        <v>Reporte de Flujo: P1</v>
      </c>
      <c r="C5" s="3" t="s">
        <v>125</v>
      </c>
      <c r="D5" s="5" t="s">
        <v>84</v>
      </c>
      <c r="E5" s="2" t="str">
        <f t="shared" si="0"/>
        <v>dicConfig("SubjectFestivos").ToString</v>
      </c>
    </row>
    <row r="6" spans="1:5" x14ac:dyDescent="0.25">
      <c r="A6" s="3" t="s">
        <v>9</v>
      </c>
      <c r="B6" s="18" t="str">
        <f>CONCATENATE("Estimados, el flujo de ",Settings!B8," se detuvo por la siguiente razón: ")</f>
        <v xml:space="preserve">Estimados, el flujo de P1 se detuvo por la siguiente razón: </v>
      </c>
      <c r="C6" s="3" t="s">
        <v>126</v>
      </c>
      <c r="D6" s="5" t="s">
        <v>84</v>
      </c>
      <c r="E6" s="2" t="str">
        <f t="shared" si="0"/>
        <v>dicConfig("BodyFestivos").ToString</v>
      </c>
    </row>
    <row r="7" spans="1:5" x14ac:dyDescent="0.25">
      <c r="A7" s="3" t="s">
        <v>78</v>
      </c>
      <c r="B7" s="18" t="str">
        <f>Settings!B$9&amp;IF(RIGHT(Settings!B$9,1)="\","","\")&amp;"Archivos\&lt;Modulo&gt;"</f>
        <v>Estructura_Plantilla\Archivos\&lt;Modulo&gt;</v>
      </c>
      <c r="C7" s="3" t="s">
        <v>28</v>
      </c>
      <c r="D7" s="5" t="s">
        <v>84</v>
      </c>
      <c r="E7" s="2" t="str">
        <f>"dicRutas(" &amp; CHAR(34) &amp; A7 &amp; CHAR(34) &amp; ").ToString"</f>
        <v>dicRutas("RutaCarpetasModulo").ToString</v>
      </c>
    </row>
    <row r="8" spans="1:5" x14ac:dyDescent="0.25">
      <c r="A8" s="3" t="s">
        <v>17</v>
      </c>
      <c r="B8" s="18" t="str">
        <f>Settings!B$9&amp;IF(RIGHT(Settings!B$9,1)="\","","\")&amp;"Archivos\&lt;Modulo&gt;\Images"</f>
        <v>Estructura_Plantilla\Archivos\&lt;Modulo&gt;\Images</v>
      </c>
      <c r="C8" s="3" t="s">
        <v>28</v>
      </c>
      <c r="D8" s="5" t="s">
        <v>84</v>
      </c>
      <c r="E8" s="2" t="str">
        <f t="shared" ref="E8:E13" si="1">"dicRutas(" &amp; CHAR(34) &amp; A8 &amp; CHAR(34) &amp; ").ToString"</f>
        <v>dicRutas("RutaSS").ToString</v>
      </c>
    </row>
    <row r="9" spans="1:5" x14ac:dyDescent="0.25">
      <c r="A9" s="3" t="s">
        <v>18</v>
      </c>
      <c r="B9" s="18" t="str">
        <f>Settings!B$9&amp;IF(RIGHT(Settings!B$9,1)="\","","\")&amp;"Archivos\&lt;Modulo&gt;\Videos"</f>
        <v>Estructura_Plantilla\Archivos\&lt;Modulo&gt;\Videos</v>
      </c>
      <c r="C9" s="3" t="s">
        <v>29</v>
      </c>
      <c r="D9" s="5" t="s">
        <v>84</v>
      </c>
      <c r="E9" s="2" t="str">
        <f t="shared" si="1"/>
        <v>dicRutas("RutaVideo").ToString</v>
      </c>
    </row>
    <row r="10" spans="1:5" x14ac:dyDescent="0.25">
      <c r="A10" s="3" t="s">
        <v>19</v>
      </c>
      <c r="B10" s="19" t="str">
        <f>Settings!B$9&amp;IF(RIGHT(Settings!B$9,1)="\","","\")&amp;"Archivos\&lt;Modulo&gt;\Inputs"</f>
        <v>Estructura_Plantilla\Archivos\&lt;Modulo&gt;\Inputs</v>
      </c>
      <c r="C10" s="2" t="s">
        <v>30</v>
      </c>
      <c r="D10" s="5" t="s">
        <v>84</v>
      </c>
      <c r="E10" s="2" t="str">
        <f t="shared" si="1"/>
        <v>dicRutas("RutaInputs").ToString</v>
      </c>
    </row>
    <row r="11" spans="1:5" x14ac:dyDescent="0.25">
      <c r="A11" s="2" t="s">
        <v>20</v>
      </c>
      <c r="B11" s="19" t="str">
        <f>Settings!B$9&amp;IF(RIGHT(Settings!B$9,1)="\","","\")&amp;"Archivos\&lt;Modulo&gt;\Outputs"</f>
        <v>Estructura_Plantilla\Archivos\&lt;Modulo&gt;\Outputs</v>
      </c>
      <c r="C11" s="2" t="s">
        <v>52</v>
      </c>
      <c r="D11" s="5" t="s">
        <v>84</v>
      </c>
      <c r="E11" s="2" t="str">
        <f t="shared" si="1"/>
        <v>dicRutas("RutaOutputs").ToString</v>
      </c>
    </row>
    <row r="12" spans="1:5" x14ac:dyDescent="0.25">
      <c r="A12" s="2" t="s">
        <v>21</v>
      </c>
      <c r="B12" s="19" t="str">
        <f>"EstructuraGlobal\Certificados"</f>
        <v>EstructuraGlobal\Certificados</v>
      </c>
      <c r="C12" s="2" t="s">
        <v>31</v>
      </c>
      <c r="D12" s="5" t="s">
        <v>84</v>
      </c>
      <c r="E12" s="2" t="str">
        <f t="shared" si="1"/>
        <v>dicRutas("RutaCert").ToString</v>
      </c>
    </row>
    <row r="13" spans="1:5" x14ac:dyDescent="0.25">
      <c r="A13" s="2" t="s">
        <v>22</v>
      </c>
      <c r="B13" s="19" t="str">
        <f>"EstructuraGlobal\CodecVideo"</f>
        <v>EstructuraGlobal\CodecVideo</v>
      </c>
      <c r="C13" s="2" t="s">
        <v>32</v>
      </c>
      <c r="D13" s="5" t="s">
        <v>84</v>
      </c>
      <c r="E13" s="2" t="str">
        <f t="shared" si="1"/>
        <v>dicRutas("RutaCodec").ToString</v>
      </c>
    </row>
    <row r="14" spans="1:5" x14ac:dyDescent="0.25">
      <c r="A14" s="2" t="s">
        <v>89</v>
      </c>
      <c r="B14" s="19" t="s">
        <v>90</v>
      </c>
      <c r="C14" s="2" t="s">
        <v>91</v>
      </c>
      <c r="D14" s="5" t="s">
        <v>96</v>
      </c>
      <c r="E14" s="2" t="str">
        <f t="shared" si="0"/>
        <v>dicConfig("DynamicConfig").ToString</v>
      </c>
    </row>
    <row r="15" spans="1:5" ht="14.25" customHeight="1" x14ac:dyDescent="0.25">
      <c r="A15" s="2" t="s">
        <v>94</v>
      </c>
      <c r="B15" s="19" t="s">
        <v>89</v>
      </c>
      <c r="C15" s="2" t="s">
        <v>95</v>
      </c>
      <c r="D15" s="5" t="s">
        <v>96</v>
      </c>
      <c r="E15" s="2" t="str">
        <f t="shared" si="0"/>
        <v>dicConfig("HojaDynamicConfig").ToString</v>
      </c>
    </row>
    <row r="16" spans="1:5" ht="14.25" customHeight="1" x14ac:dyDescent="0.25">
      <c r="A16" s="2" t="s">
        <v>98</v>
      </c>
      <c r="B16" s="19" t="s">
        <v>97</v>
      </c>
      <c r="C16" s="2" t="s">
        <v>99</v>
      </c>
      <c r="D16" s="5" t="s">
        <v>96</v>
      </c>
      <c r="E16" s="2" t="str">
        <f t="shared" si="0"/>
        <v>dicConfig("CeldaDynamicConfig").ToString</v>
      </c>
    </row>
    <row r="17" spans="1:5" ht="14.25" customHeight="1" x14ac:dyDescent="0.25">
      <c r="A17" s="2" t="s">
        <v>100</v>
      </c>
      <c r="B17" s="19" t="s">
        <v>101</v>
      </c>
      <c r="C17" s="2" t="s">
        <v>105</v>
      </c>
      <c r="D17" s="5" t="s">
        <v>96</v>
      </c>
      <c r="E17" s="2" t="str">
        <f t="shared" si="0"/>
        <v>dicConfig("NombrePrimerColumnaTablaDynamicConfig").ToString</v>
      </c>
    </row>
    <row r="18" spans="1:5" ht="14.25" customHeight="1" x14ac:dyDescent="0.25">
      <c r="A18" s="2" t="s">
        <v>104</v>
      </c>
      <c r="B18" s="19" t="s">
        <v>103</v>
      </c>
      <c r="C18" s="2" t="s">
        <v>102</v>
      </c>
      <c r="D18" s="5" t="s">
        <v>96</v>
      </c>
      <c r="E18" s="2" t="str">
        <f t="shared" si="0"/>
        <v>dicConfig("NombreSegundaColumnaTablaDynamicConfig").ToString</v>
      </c>
    </row>
    <row r="19" spans="1:5" ht="14.25" customHeight="1" x14ac:dyDescent="0.25">
      <c r="A19" s="2" t="s">
        <v>118</v>
      </c>
      <c r="B19" s="2" t="s">
        <v>117</v>
      </c>
      <c r="C19" s="3" t="s">
        <v>124</v>
      </c>
      <c r="D19" s="5" t="s">
        <v>84</v>
      </c>
      <c r="E19" s="2" t="str">
        <f t="shared" si="0"/>
        <v>dicConfig("OrchestratorFolder_Shared").ToString</v>
      </c>
    </row>
    <row r="20" spans="1:5" ht="14.25" customHeight="1" x14ac:dyDescent="0.25">
      <c r="A20" s="3" t="s">
        <v>155</v>
      </c>
      <c r="C20" s="3" t="str">
        <f>"Carpeta en Orquestador para Assets Privados del Proceso automatizado ( " &amp; B20 &amp; ")"</f>
        <v>Carpeta en Orquestador para Assets Privados del Proceso automatizado ( )</v>
      </c>
      <c r="D20" s="5" t="s">
        <v>96</v>
      </c>
      <c r="E20" s="2" t="str">
        <f t="shared" si="0"/>
        <v>dicConfig("OrchestratorFolder_UnidadNegocio").ToString</v>
      </c>
    </row>
    <row r="21" spans="1:5" ht="14.25" customHeight="1" x14ac:dyDescent="0.25">
      <c r="A21" s="3"/>
      <c r="C21" s="3"/>
      <c r="D21" s="5"/>
    </row>
    <row r="22" spans="1:5" ht="14.25" customHeight="1" x14ac:dyDescent="0.25">
      <c r="A22" s="3"/>
      <c r="C22" s="3"/>
      <c r="D22" s="5"/>
    </row>
    <row r="23" spans="1:5" ht="14.25" customHeight="1" x14ac:dyDescent="0.25">
      <c r="A23" s="3"/>
      <c r="C23" s="3"/>
      <c r="D23" s="5"/>
    </row>
    <row r="24" spans="1:5" ht="14.25" customHeight="1" x14ac:dyDescent="0.25">
      <c r="A24" s="3"/>
      <c r="C24" s="3"/>
      <c r="D24" s="5"/>
    </row>
    <row r="25" spans="1:5" ht="14.25" customHeight="1" x14ac:dyDescent="0.25">
      <c r="A25" s="3"/>
      <c r="C25" s="3"/>
      <c r="D25" s="5"/>
    </row>
    <row r="26" spans="1:5" ht="14.25" customHeight="1" x14ac:dyDescent="0.25">
      <c r="A26" s="3"/>
      <c r="C26" s="3"/>
      <c r="D26" s="5"/>
    </row>
    <row r="27" spans="1:5" ht="14.25" customHeight="1" x14ac:dyDescent="0.25"/>
    <row r="28" spans="1:5" ht="14.25" customHeight="1" x14ac:dyDescent="0.25"/>
    <row r="29" spans="1:5" ht="14.25" customHeight="1" x14ac:dyDescent="0.25"/>
    <row r="30" spans="1:5" ht="14.25" customHeight="1" x14ac:dyDescent="0.25"/>
    <row r="31" spans="1:5" ht="14.25" customHeight="1" x14ac:dyDescent="0.25"/>
    <row r="32" spans="1:5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</sheetData>
  <sheetProtection formatCells="0" formatColumns="0" formatRows="0" sort="0" autoFilter="0"/>
  <sortState xmlns:xlrd2="http://schemas.microsoft.com/office/spreadsheetml/2017/richdata2" ref="B20:B26">
    <sortCondition ref="B20:B26"/>
  </sortState>
  <phoneticPr fontId="9" type="noConversion"/>
  <conditionalFormatting sqref="A1:A1048576">
    <cfRule type="duplicateValues" dxfId="27" priority="2"/>
  </conditionalFormatting>
  <conditionalFormatting sqref="A9">
    <cfRule type="duplicateValues" dxfId="26" priority="4"/>
  </conditionalFormatting>
  <conditionalFormatting sqref="A1:D1">
    <cfRule type="duplicateValues" dxfId="25" priority="55"/>
  </conditionalFormatting>
  <conditionalFormatting sqref="E1">
    <cfRule type="duplicateValues" dxfId="24" priority="1"/>
  </conditionalFormatting>
  <dataValidations count="1">
    <dataValidation type="list" errorStyle="warning" allowBlank="1" showInputMessage="1" showErrorMessage="1" errorTitle="Dato Inválido" error="Selecciones valor de la lista o el Robot no funcionará." promptTitle="Seleccione Valor" prompt="Elija un valor de la lista, no puede quedar en blanco o el robot fallará." sqref="B4" xr:uid="{53F28014-9124-48B5-941E-B56851AC6A74}">
      <formula1>"True,False"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30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9" sqref="E19"/>
    </sheetView>
  </sheetViews>
  <sheetFormatPr defaultColWidth="14.42578125" defaultRowHeight="15" customHeight="1" x14ac:dyDescent="0.25"/>
  <cols>
    <col min="1" max="1" width="30.42578125" style="18" bestFit="1" customWidth="1"/>
    <col min="2" max="2" width="35.42578125" style="18" bestFit="1" customWidth="1"/>
    <col min="3" max="3" width="23.7109375" style="18" customWidth="1"/>
    <col min="4" max="4" width="19.7109375" style="20" bestFit="1" customWidth="1"/>
    <col min="5" max="5" width="30.28515625" style="5" customWidth="1"/>
    <col min="6" max="6" width="18.42578125" style="18" bestFit="1" customWidth="1"/>
    <col min="7" max="7" width="19.7109375" style="23" bestFit="1" customWidth="1"/>
    <col min="8" max="8" width="25.5703125" style="20" bestFit="1" customWidth="1"/>
    <col min="9" max="9" width="26.140625" style="20" bestFit="1" customWidth="1"/>
    <col min="10" max="10" width="50.42578125" style="3" bestFit="1" customWidth="1"/>
    <col min="11" max="26" width="65.42578125" style="3" customWidth="1"/>
    <col min="27" max="16384" width="14.42578125" style="3"/>
  </cols>
  <sheetData>
    <row r="1" spans="1:10" s="2" customFormat="1" ht="18.75" x14ac:dyDescent="0.25">
      <c r="A1" s="22" t="s">
        <v>0</v>
      </c>
      <c r="B1" s="22" t="s">
        <v>2</v>
      </c>
      <c r="C1" s="22" t="s">
        <v>3</v>
      </c>
      <c r="D1" s="22" t="s">
        <v>14</v>
      </c>
      <c r="E1" s="1" t="s">
        <v>25</v>
      </c>
      <c r="F1" s="22" t="s">
        <v>13</v>
      </c>
      <c r="G1" s="22" t="s">
        <v>37</v>
      </c>
      <c r="H1" s="22" t="s">
        <v>38</v>
      </c>
      <c r="I1" s="22" t="s">
        <v>135</v>
      </c>
      <c r="J1" s="1" t="s">
        <v>164</v>
      </c>
    </row>
    <row r="2" spans="1:10" ht="14.25" customHeight="1" x14ac:dyDescent="0.25">
      <c r="A2" s="18" t="s">
        <v>63</v>
      </c>
      <c r="B2" s="18" t="s">
        <v>106</v>
      </c>
      <c r="C2" s="18" t="s">
        <v>77</v>
      </c>
      <c r="D2" s="23" t="s">
        <v>26</v>
      </c>
      <c r="E2" s="14"/>
      <c r="F2" s="23" t="s">
        <v>16</v>
      </c>
      <c r="G2" s="20" t="s">
        <v>117</v>
      </c>
      <c r="H2" s="20" t="s">
        <v>84</v>
      </c>
      <c r="J2" s="2" t="str">
        <f>"dicConfig(" &amp; CHAR(34) &amp; A2 &amp; CHAR(34) &amp; ").ToString"</f>
        <v>dicConfig("DominioPermitido").ToString</v>
      </c>
    </row>
    <row r="3" spans="1:10" ht="14.25" customHeight="1" x14ac:dyDescent="0.25">
      <c r="A3" s="18" t="s">
        <v>49</v>
      </c>
      <c r="B3" s="18" t="s">
        <v>57</v>
      </c>
      <c r="C3" s="18" t="s">
        <v>54</v>
      </c>
      <c r="D3" s="23" t="s">
        <v>26</v>
      </c>
      <c r="E3" s="13" t="s">
        <v>41</v>
      </c>
      <c r="F3" s="23" t="s">
        <v>16</v>
      </c>
      <c r="G3" s="20" t="s">
        <v>117</v>
      </c>
      <c r="H3" s="20" t="s">
        <v>84</v>
      </c>
      <c r="J3" s="2" t="str">
        <f>"dicConfig(" &amp; CHAR(34) &amp; A3 &amp; CHAR(34) &amp; ").ToString"</f>
        <v>dicConfig("EmailBodyGeneral").ToString</v>
      </c>
    </row>
    <row r="4" spans="1:10" ht="14.25" customHeight="1" x14ac:dyDescent="0.25">
      <c r="A4" s="18" t="s">
        <v>23</v>
      </c>
      <c r="B4" s="18" t="s">
        <v>23</v>
      </c>
      <c r="C4" s="18" t="s">
        <v>27</v>
      </c>
      <c r="D4" s="23" t="s">
        <v>26</v>
      </c>
      <c r="E4" s="13"/>
      <c r="F4" s="23" t="s">
        <v>16</v>
      </c>
      <c r="G4" s="20" t="s">
        <v>117</v>
      </c>
      <c r="H4" s="20" t="s">
        <v>84</v>
      </c>
      <c r="J4" s="2" t="str">
        <f>"dicConfig(" &amp; CHAR(34) &amp; A4 &amp; CHAR(34) &amp; ").ToString"</f>
        <v>dicConfig("EmailServerName").ToString</v>
      </c>
    </row>
    <row r="5" spans="1:10" ht="15" customHeight="1" x14ac:dyDescent="0.25">
      <c r="A5" s="18" t="s">
        <v>48</v>
      </c>
      <c r="B5" s="18" t="s">
        <v>56</v>
      </c>
      <c r="C5" s="18" t="s">
        <v>53</v>
      </c>
      <c r="D5" s="23" t="s">
        <v>26</v>
      </c>
      <c r="E5" s="13" t="s">
        <v>42</v>
      </c>
      <c r="F5" s="23" t="s">
        <v>16</v>
      </c>
      <c r="G5" s="20" t="s">
        <v>117</v>
      </c>
      <c r="H5" s="20" t="s">
        <v>84</v>
      </c>
      <c r="J5" s="2" t="str">
        <f>"dicConfig(" &amp; CHAR(34) &amp; A5 &amp; CHAR(34) &amp; ").ToString"</f>
        <v>dicConfig("EmailSubjectGeneral").ToString</v>
      </c>
    </row>
    <row r="6" spans="1:10" ht="14.25" customHeight="1" x14ac:dyDescent="0.25">
      <c r="A6" s="18" t="s">
        <v>79</v>
      </c>
      <c r="B6" s="18" t="s">
        <v>88</v>
      </c>
      <c r="C6" s="18" t="s">
        <v>83</v>
      </c>
      <c r="D6" s="23" t="s">
        <v>26</v>
      </c>
      <c r="E6" s="13" t="s">
        <v>43</v>
      </c>
      <c r="F6" s="23" t="s">
        <v>36</v>
      </c>
      <c r="G6" s="20" t="s">
        <v>117</v>
      </c>
      <c r="H6" s="20" t="s">
        <v>84</v>
      </c>
      <c r="J6" s="2" t="str">
        <f>"dicConfig(" &amp; CHAR(34) &amp; A6 &amp; CHAR(34) &amp; ").ToString"</f>
        <v>dicConfig("GenerarGrabacion").ToString</v>
      </c>
    </row>
    <row r="7" spans="1:10" ht="14.25" customHeight="1" x14ac:dyDescent="0.25">
      <c r="A7" s="18" t="s">
        <v>74</v>
      </c>
      <c r="B7" s="18" t="s">
        <v>74</v>
      </c>
      <c r="C7" s="18" t="s">
        <v>75</v>
      </c>
      <c r="D7" s="20" t="s">
        <v>26</v>
      </c>
      <c r="E7" s="15" t="s">
        <v>76</v>
      </c>
      <c r="F7" s="23" t="s">
        <v>16</v>
      </c>
      <c r="G7" s="20" t="s">
        <v>117</v>
      </c>
      <c r="H7" s="20" t="s">
        <v>84</v>
      </c>
      <c r="J7" s="2" t="str">
        <f>"dicConfig(" &amp; CHAR(34) &amp; A7 &amp; CHAR(34) &amp; ").ToString"</f>
        <v>dicConfig("InboxFolderName").ToString</v>
      </c>
    </row>
    <row r="8" spans="1:10" ht="14.25" customHeight="1" x14ac:dyDescent="0.25">
      <c r="A8" s="24" t="s">
        <v>64</v>
      </c>
      <c r="B8" s="24" t="s">
        <v>64</v>
      </c>
      <c r="C8" s="25" t="s">
        <v>65</v>
      </c>
      <c r="D8" s="26" t="s">
        <v>26</v>
      </c>
      <c r="E8" s="16"/>
      <c r="F8" s="23" t="s">
        <v>16</v>
      </c>
      <c r="G8" s="20" t="s">
        <v>117</v>
      </c>
      <c r="H8" s="20" t="s">
        <v>84</v>
      </c>
      <c r="J8" s="2" t="str">
        <f>"dicConfig(" &amp; CHAR(34) &amp; A8 &amp; CHAR(34) &amp; ").ToString"</f>
        <v>dicConfig("Office365API_ApplicationID").ToString</v>
      </c>
    </row>
    <row r="9" spans="1:10" ht="15" customHeight="1" x14ac:dyDescent="0.25">
      <c r="A9" s="24" t="s">
        <v>66</v>
      </c>
      <c r="B9" s="24" t="s">
        <v>66</v>
      </c>
      <c r="C9" s="25" t="s">
        <v>67</v>
      </c>
      <c r="D9" s="26" t="s">
        <v>26</v>
      </c>
      <c r="E9" s="17"/>
      <c r="F9" s="23" t="s">
        <v>16</v>
      </c>
      <c r="G9" s="20" t="s">
        <v>117</v>
      </c>
      <c r="H9" s="20" t="s">
        <v>84</v>
      </c>
      <c r="J9" s="2" t="str">
        <f>"dicConfig(" &amp; CHAR(34) &amp; A9 &amp; CHAR(34) &amp; ").ToString"</f>
        <v>dicConfig("Office365API_ApplicationTenant").ToString</v>
      </c>
    </row>
    <row r="10" spans="1:10" ht="14.25" customHeight="1" x14ac:dyDescent="0.25">
      <c r="A10" s="24" t="s">
        <v>68</v>
      </c>
      <c r="B10" s="24" t="s">
        <v>68</v>
      </c>
      <c r="C10" s="25" t="s">
        <v>69</v>
      </c>
      <c r="D10" s="26" t="s">
        <v>26</v>
      </c>
      <c r="E10" s="28"/>
      <c r="F10" s="23" t="s">
        <v>16</v>
      </c>
      <c r="G10" s="20" t="s">
        <v>117</v>
      </c>
      <c r="H10" s="20" t="s">
        <v>84</v>
      </c>
      <c r="J10" s="2" t="str">
        <f>"dicConfig(" &amp; CHAR(34) &amp; A10 &amp; CHAR(34) &amp; ").ToString"</f>
        <v>dicConfig("Office365API_SecretKey").ToString</v>
      </c>
    </row>
    <row r="11" spans="1:10" ht="14.25" customHeight="1" x14ac:dyDescent="0.25">
      <c r="A11" s="18" t="s">
        <v>50</v>
      </c>
      <c r="B11" s="18" t="s">
        <v>50</v>
      </c>
      <c r="C11" s="18" t="s">
        <v>44</v>
      </c>
      <c r="D11" s="23" t="s">
        <v>26</v>
      </c>
      <c r="E11" s="13" t="s">
        <v>121</v>
      </c>
      <c r="F11" s="23" t="s">
        <v>16</v>
      </c>
      <c r="G11" s="20" t="s">
        <v>117</v>
      </c>
      <c r="H11" s="20" t="s">
        <v>84</v>
      </c>
      <c r="I11" s="20" t="s">
        <v>136</v>
      </c>
      <c r="J11" s="2" t="str">
        <f>"dicConfig(" &amp; CHAR(34) &amp; A11 &amp; CHAR(34) &amp; ").ToString"</f>
        <v>dicConfig("PathConfig").ToString</v>
      </c>
    </row>
    <row r="12" spans="1:10" ht="15" customHeight="1" x14ac:dyDescent="0.25">
      <c r="A12" s="18" t="s">
        <v>127</v>
      </c>
      <c r="B12" s="18" t="s">
        <v>128</v>
      </c>
      <c r="C12" s="18" t="s">
        <v>129</v>
      </c>
      <c r="D12" s="20" t="s">
        <v>26</v>
      </c>
      <c r="E12" s="5" t="s">
        <v>51</v>
      </c>
      <c r="F12" s="23" t="s">
        <v>16</v>
      </c>
      <c r="G12" s="20" t="s">
        <v>117</v>
      </c>
      <c r="H12" s="20" t="s">
        <v>84</v>
      </c>
      <c r="J12" s="2" t="str">
        <f>"dicConfig(" &amp; CHAR(34) &amp; A12 &amp; CHAR(34) &amp; ").ToString"</f>
        <v>dicConfig("PermitirFinesDeSemana").ToString</v>
      </c>
    </row>
    <row r="13" spans="1:10" ht="14.25" customHeight="1" x14ac:dyDescent="0.25">
      <c r="A13" s="18" t="s">
        <v>70</v>
      </c>
      <c r="B13" s="18" t="s">
        <v>70</v>
      </c>
      <c r="C13" s="18" t="s">
        <v>71</v>
      </c>
      <c r="D13" s="23" t="s">
        <v>26</v>
      </c>
      <c r="E13" s="15"/>
      <c r="F13" s="23" t="s">
        <v>45</v>
      </c>
      <c r="G13" s="20" t="s">
        <v>117</v>
      </c>
      <c r="H13" s="20" t="s">
        <v>84</v>
      </c>
      <c r="J13" s="2" t="str">
        <f>"dicConfig(" &amp; CHAR(34) &amp; A13 &amp; CHAR(34) &amp; ").ToString"</f>
        <v>dicConfig("PuertoSMTP").ToString</v>
      </c>
    </row>
    <row r="14" spans="1:10" ht="14.25" customHeight="1" x14ac:dyDescent="0.25">
      <c r="A14" s="18" t="s">
        <v>72</v>
      </c>
      <c r="B14" s="18" t="s">
        <v>72</v>
      </c>
      <c r="C14" s="18" t="s">
        <v>73</v>
      </c>
      <c r="D14" s="23" t="s">
        <v>26</v>
      </c>
      <c r="E14" s="15"/>
      <c r="F14" s="23" t="s">
        <v>16</v>
      </c>
      <c r="G14" s="20" t="s">
        <v>117</v>
      </c>
      <c r="H14" s="20" t="s">
        <v>84</v>
      </c>
      <c r="J14" s="2" t="str">
        <f>"dicConfig(" &amp; CHAR(34) &amp; A14 &amp; CHAR(34) &amp; ").ToString"</f>
        <v>dicConfig("ServidorSMTP").ToString</v>
      </c>
    </row>
    <row r="15" spans="1:10" ht="14.25" customHeight="1" x14ac:dyDescent="0.25">
      <c r="A15" s="18" t="s">
        <v>46</v>
      </c>
      <c r="B15" s="18" t="s">
        <v>46</v>
      </c>
      <c r="C15" s="18" t="s">
        <v>47</v>
      </c>
      <c r="D15" s="23" t="s">
        <v>26</v>
      </c>
      <c r="E15" s="13"/>
      <c r="F15" s="23" t="s">
        <v>16</v>
      </c>
      <c r="G15" s="20" t="s">
        <v>117</v>
      </c>
      <c r="H15" s="20" t="s">
        <v>84</v>
      </c>
      <c r="I15" s="20" t="s">
        <v>141</v>
      </c>
      <c r="J15" s="2" t="str">
        <f>"dicConfig(" &amp; CHAR(34) &amp; A15 &amp; CHAR(34) &amp; ").ToString"</f>
        <v>dicConfig("StringConnection").ToString</v>
      </c>
    </row>
    <row r="16" spans="1:10" ht="14.25" customHeight="1" x14ac:dyDescent="0.25">
      <c r="A16" s="18" t="s">
        <v>61</v>
      </c>
      <c r="B16" s="18" t="s">
        <v>107</v>
      </c>
      <c r="C16" s="18" t="s">
        <v>62</v>
      </c>
      <c r="D16" s="23" t="s">
        <v>26</v>
      </c>
      <c r="E16" s="13">
        <v>10</v>
      </c>
      <c r="F16" s="23" t="s">
        <v>45</v>
      </c>
      <c r="G16" s="20" t="s">
        <v>117</v>
      </c>
      <c r="H16" s="20" t="s">
        <v>84</v>
      </c>
      <c r="J16" s="2" t="str">
        <f>"dicConfig(" &amp; CHAR(34) &amp; A16 &amp; CHAR(34) &amp; ").ToString"</f>
        <v>dicConfig("TiempoEsperaCorreoCaptcha").ToString</v>
      </c>
    </row>
    <row r="17" spans="1:10" ht="14.25" customHeight="1" x14ac:dyDescent="0.25">
      <c r="A17" s="18" t="s">
        <v>85</v>
      </c>
      <c r="B17" s="18" t="s">
        <v>86</v>
      </c>
      <c r="C17" s="18" t="s">
        <v>87</v>
      </c>
      <c r="D17" s="23" t="s">
        <v>26</v>
      </c>
      <c r="E17" s="15">
        <v>30000</v>
      </c>
      <c r="F17" s="23" t="s">
        <v>45</v>
      </c>
      <c r="G17" s="20" t="s">
        <v>117</v>
      </c>
      <c r="H17" s="20" t="s">
        <v>84</v>
      </c>
      <c r="J17" s="2" t="str">
        <f>"dicConfig(" &amp; CHAR(34) &amp; A17 &amp; CHAR(34) &amp; ").ToString"</f>
        <v>dicConfig("TimeOut").ToString</v>
      </c>
    </row>
    <row r="18" spans="1:10" ht="14.25" customHeight="1" x14ac:dyDescent="0.25">
      <c r="A18" s="18" t="s">
        <v>154</v>
      </c>
      <c r="B18" s="18" t="s">
        <v>154</v>
      </c>
      <c r="C18" s="18" t="s">
        <v>131</v>
      </c>
      <c r="D18" s="20" t="s">
        <v>26</v>
      </c>
      <c r="F18" s="23" t="s">
        <v>16</v>
      </c>
      <c r="G18" s="20" t="s">
        <v>117</v>
      </c>
      <c r="H18" s="20" t="s">
        <v>84</v>
      </c>
      <c r="J18" s="2" t="str">
        <f>"dicConfig(" &amp; CHAR(34) &amp; A18 &amp; CHAR(34) &amp; ").ToString"</f>
        <v>dicConfig("UrlWebApp").ToString</v>
      </c>
    </row>
    <row r="19" spans="1:10" ht="14.25" customHeight="1" x14ac:dyDescent="0.25">
      <c r="A19" s="18" t="s">
        <v>140</v>
      </c>
      <c r="B19" s="18" t="s">
        <v>140</v>
      </c>
      <c r="C19" s="18" t="s">
        <v>142</v>
      </c>
      <c r="D19" s="20" t="s">
        <v>26</v>
      </c>
      <c r="E19" s="5" t="s">
        <v>143</v>
      </c>
      <c r="F19" s="23" t="s">
        <v>16</v>
      </c>
      <c r="G19" s="23" t="s">
        <v>117</v>
      </c>
      <c r="H19" s="20" t="s">
        <v>84</v>
      </c>
      <c r="J19" s="2" t="str">
        <f>"dicConfig(" &amp; CHAR(34) &amp; A19 &amp; CHAR(34) &amp; ").ToString"</f>
        <v>dicConfig("Browser").ToString</v>
      </c>
    </row>
    <row r="21" spans="1:10" ht="14.25" customHeight="1" x14ac:dyDescent="0.25"/>
    <row r="22" spans="1:10" ht="14.25" customHeight="1" x14ac:dyDescent="0.25"/>
    <row r="23" spans="1:10" ht="14.25" customHeight="1" x14ac:dyDescent="0.25"/>
    <row r="24" spans="1:10" ht="14.25" customHeight="1" x14ac:dyDescent="0.25"/>
    <row r="25" spans="1:10" ht="14.25" customHeight="1" x14ac:dyDescent="0.25"/>
    <row r="26" spans="1:10" ht="14.25" customHeight="1" x14ac:dyDescent="0.25"/>
    <row r="27" spans="1:10" ht="14.25" customHeight="1" x14ac:dyDescent="0.25"/>
    <row r="28" spans="1:10" ht="14.25" customHeight="1" x14ac:dyDescent="0.25"/>
    <row r="29" spans="1:10" ht="14.25" customHeight="1" x14ac:dyDescent="0.25"/>
    <row r="30" spans="1:10" ht="14.25" customHeight="1" x14ac:dyDescent="0.25"/>
    <row r="31" spans="1:10" ht="14.25" customHeight="1" x14ac:dyDescent="0.25"/>
    <row r="32" spans="1:10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</sheetData>
  <sheetProtection formatCells="0" formatColumns="0" formatRows="0" sort="0" autoFilter="0"/>
  <autoFilter ref="A1:H18" xr:uid="{00000000-0001-0000-0200-000000000000}">
    <sortState xmlns:xlrd2="http://schemas.microsoft.com/office/spreadsheetml/2017/richdata2" ref="A2:H19">
      <sortCondition ref="B1:B18"/>
    </sortState>
  </autoFilter>
  <phoneticPr fontId="7" type="noConversion"/>
  <conditionalFormatting sqref="A12:A13">
    <cfRule type="duplicateValues" dxfId="23" priority="51"/>
  </conditionalFormatting>
  <conditionalFormatting sqref="A14">
    <cfRule type="duplicateValues" dxfId="22" priority="54"/>
  </conditionalFormatting>
  <conditionalFormatting sqref="A15:A18 A2:A10">
    <cfRule type="duplicateValues" dxfId="21" priority="39"/>
  </conditionalFormatting>
  <conditionalFormatting sqref="A21:A1048576 A1:A18">
    <cfRule type="duplicateValues" dxfId="20" priority="10"/>
  </conditionalFormatting>
  <conditionalFormatting sqref="A21:A1048576">
    <cfRule type="duplicateValues" dxfId="19" priority="47"/>
  </conditionalFormatting>
  <conditionalFormatting sqref="A1:F1 H1:I1">
    <cfRule type="duplicateValues" dxfId="18" priority="48"/>
  </conditionalFormatting>
  <conditionalFormatting sqref="B9">
    <cfRule type="duplicateValues" dxfId="17" priority="43"/>
  </conditionalFormatting>
  <conditionalFormatting sqref="G1">
    <cfRule type="duplicateValues" dxfId="16" priority="11"/>
  </conditionalFormatting>
  <conditionalFormatting sqref="J1">
    <cfRule type="duplicateValues" dxfId="15" priority="1"/>
  </conditionalFormatting>
  <dataValidations count="1">
    <dataValidation type="list" allowBlank="1" showErrorMessage="1" errorTitle="Browser no valid" error="This browser is not a option in code for a moment." sqref="E19" xr:uid="{9E4B14B6-02FB-47F1-983A-3A706B49341A}">
      <formula1>"Chrome,Edge,Firefox"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2B9B16A-1CCD-4C81-9A5B-6937E3F04415}">
          <x14:formula1>
            <xm:f>Constants!$B$19:$B$26</xm:f>
          </x14:formula1>
          <xm:sqref>G21:G1048576 G2:G19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A6743-F0FE-4A30-AE5D-1A19B458704B}">
  <dimension ref="A1:J92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5" sqref="H5"/>
    </sheetView>
  </sheetViews>
  <sheetFormatPr defaultColWidth="14.42578125" defaultRowHeight="15" customHeight="1" x14ac:dyDescent="0.25"/>
  <cols>
    <col min="1" max="1" width="21.42578125" style="18" bestFit="1" customWidth="1"/>
    <col min="2" max="2" width="23.5703125" style="18" bestFit="1" customWidth="1"/>
    <col min="3" max="3" width="21" style="18" customWidth="1"/>
    <col min="4" max="4" width="19.7109375" style="20" bestFit="1" customWidth="1"/>
    <col min="5" max="5" width="43.28515625" style="23" bestFit="1" customWidth="1"/>
    <col min="6" max="6" width="18.42578125" style="18" bestFit="1" customWidth="1"/>
    <col min="7" max="7" width="19.7109375" style="23" bestFit="1" customWidth="1"/>
    <col min="8" max="8" width="25.5703125" style="20" bestFit="1" customWidth="1"/>
    <col min="9" max="9" width="23.85546875" style="6" bestFit="1" customWidth="1"/>
    <col min="10" max="10" width="41.28515625" style="3" bestFit="1" customWidth="1"/>
    <col min="11" max="26" width="65.42578125" style="3" customWidth="1"/>
    <col min="27" max="16384" width="14.42578125" style="3"/>
  </cols>
  <sheetData>
    <row r="1" spans="1:10" s="2" customFormat="1" ht="18.75" x14ac:dyDescent="0.25">
      <c r="A1" s="22" t="s">
        <v>0</v>
      </c>
      <c r="B1" s="22" t="s">
        <v>2</v>
      </c>
      <c r="C1" s="22" t="s">
        <v>3</v>
      </c>
      <c r="D1" s="22" t="s">
        <v>14</v>
      </c>
      <c r="E1" s="22" t="s">
        <v>25</v>
      </c>
      <c r="F1" s="22" t="s">
        <v>13</v>
      </c>
      <c r="G1" s="22" t="s">
        <v>37</v>
      </c>
      <c r="H1" s="22" t="s">
        <v>38</v>
      </c>
      <c r="I1" s="1" t="s">
        <v>135</v>
      </c>
      <c r="J1" s="1" t="s">
        <v>164</v>
      </c>
    </row>
    <row r="2" spans="1:10" ht="14.25" customHeight="1" x14ac:dyDescent="0.25">
      <c r="A2" s="18" t="s">
        <v>92</v>
      </c>
      <c r="B2" s="21" t="s">
        <v>110</v>
      </c>
      <c r="C2" s="18" t="s">
        <v>93</v>
      </c>
      <c r="D2" s="20" t="s">
        <v>26</v>
      </c>
      <c r="E2" s="23" t="s">
        <v>111</v>
      </c>
      <c r="F2" s="23" t="s">
        <v>16</v>
      </c>
      <c r="G2" s="20" t="s">
        <v>117</v>
      </c>
      <c r="H2" s="27" t="s">
        <v>130</v>
      </c>
      <c r="J2" s="2" t="str">
        <f>"dicConfig(" &amp; CHAR(34) &amp; A2 &amp; CHAR(34) &amp; ").ToString"</f>
        <v>dicConfig("NombreStorageBucket").ToString</v>
      </c>
    </row>
    <row r="3" spans="1:10" ht="14.25" customHeight="1" x14ac:dyDescent="0.25">
      <c r="A3" s="18" t="s">
        <v>82</v>
      </c>
      <c r="B3" s="21" t="s">
        <v>109</v>
      </c>
      <c r="C3" s="18" t="s">
        <v>81</v>
      </c>
      <c r="D3" s="23" t="s">
        <v>26</v>
      </c>
      <c r="E3" s="18" t="s">
        <v>157</v>
      </c>
      <c r="F3" s="23" t="s">
        <v>16</v>
      </c>
      <c r="G3" s="20" t="s">
        <v>117</v>
      </c>
      <c r="H3" s="27" t="s">
        <v>130</v>
      </c>
      <c r="J3" s="2" t="str">
        <f t="shared" ref="J3:J4" si="0">"dicConfig(" &amp; CHAR(34) &amp; A3 &amp; CHAR(34) &amp; ").ToString"</f>
        <v>dicConfig("EmailTo").ToString</v>
      </c>
    </row>
    <row r="4" spans="1:10" ht="14.25" customHeight="1" x14ac:dyDescent="0.25">
      <c r="A4" s="18" t="s">
        <v>80</v>
      </c>
      <c r="B4" s="21" t="s">
        <v>108</v>
      </c>
      <c r="C4" s="18" t="s">
        <v>81</v>
      </c>
      <c r="D4" s="23" t="s">
        <v>26</v>
      </c>
      <c r="E4" s="18" t="s">
        <v>157</v>
      </c>
      <c r="F4" s="23" t="s">
        <v>16</v>
      </c>
      <c r="G4" s="20" t="s">
        <v>117</v>
      </c>
      <c r="H4" s="27" t="s">
        <v>130</v>
      </c>
      <c r="J4" s="2" t="str">
        <f t="shared" si="0"/>
        <v>dicConfig("EmailCC").ToString</v>
      </c>
    </row>
    <row r="5" spans="1:10" ht="14.25" customHeight="1" x14ac:dyDescent="0.25">
      <c r="A5" s="18" t="s">
        <v>113</v>
      </c>
      <c r="B5" s="21" t="s">
        <v>153</v>
      </c>
      <c r="C5" s="18" t="s">
        <v>81</v>
      </c>
      <c r="D5" s="23" t="s">
        <v>26</v>
      </c>
      <c r="E5" s="18"/>
      <c r="F5" s="23" t="s">
        <v>16</v>
      </c>
      <c r="G5" s="23" t="s">
        <v>117</v>
      </c>
      <c r="H5" s="27" t="s">
        <v>130</v>
      </c>
      <c r="I5" s="6" t="s">
        <v>144</v>
      </c>
      <c r="J5" s="2" t="str">
        <f>"dicConfig(" &amp; CHAR(34) &amp; A5 &amp; CHAR(34) &amp; ").ToString"</f>
        <v>dicConfig("EmailCCO").ToString</v>
      </c>
    </row>
    <row r="6" spans="1:10" ht="14.25" customHeight="1" x14ac:dyDescent="0.25"/>
    <row r="7" spans="1:10" ht="14.25" customHeight="1" x14ac:dyDescent="0.25"/>
    <row r="8" spans="1:10" ht="14.25" customHeight="1" x14ac:dyDescent="0.25"/>
    <row r="9" spans="1:10" ht="14.25" customHeight="1" x14ac:dyDescent="0.25"/>
    <row r="10" spans="1:10" ht="14.25" customHeight="1" x14ac:dyDescent="0.25"/>
    <row r="11" spans="1:10" ht="14.25" customHeight="1" x14ac:dyDescent="0.25"/>
    <row r="12" spans="1:10" ht="14.25" customHeight="1" x14ac:dyDescent="0.25"/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</sheetData>
  <sheetProtection formatCells="0" formatColumns="0" formatRows="0" sort="0" autoFilter="0"/>
  <autoFilter ref="A1:H5" xr:uid="{00000000-0001-0000-0200-000000000000}">
    <sortState xmlns:xlrd2="http://schemas.microsoft.com/office/spreadsheetml/2017/richdata2" ref="A2:H5">
      <sortCondition ref="H1:H5"/>
    </sortState>
  </autoFilter>
  <conditionalFormatting sqref="A1:A4 A6:A1048576">
    <cfRule type="duplicateValues" dxfId="14" priority="5"/>
  </conditionalFormatting>
  <conditionalFormatting sqref="A2:A4 A6:A1048576">
    <cfRule type="duplicateValues" dxfId="13" priority="14"/>
  </conditionalFormatting>
  <conditionalFormatting sqref="A1:H1">
    <cfRule type="duplicateValues" dxfId="12" priority="6"/>
  </conditionalFormatting>
  <conditionalFormatting sqref="B2">
    <cfRule type="duplicateValues" dxfId="11" priority="9"/>
  </conditionalFormatting>
  <conditionalFormatting sqref="B3">
    <cfRule type="duplicateValues" dxfId="10" priority="8"/>
  </conditionalFormatting>
  <conditionalFormatting sqref="I1">
    <cfRule type="duplicateValues" dxfId="9" priority="4"/>
  </conditionalFormatting>
  <conditionalFormatting sqref="J1">
    <cfRule type="duplicateValues" dxfId="8" priority="3"/>
  </conditionalFormatting>
  <conditionalFormatting sqref="A5">
    <cfRule type="duplicateValues" dxfId="7" priority="1"/>
    <cfRule type="duplicateValues" dxfId="6" priority="2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23E4E4B-F904-4BD3-BEDC-5232E96A114D}">
          <x14:formula1>
            <xm:f>Constants!$B$19:$B$26</xm:f>
          </x14:formula1>
          <xm:sqref>G2:G4 G6:G1048576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70E49-C8C0-4F68-8FAB-1C5D9B8EB1C4}">
  <dimension ref="A1:I22"/>
  <sheetViews>
    <sheetView zoomScale="115" zoomScaleNormal="115" workbookViewId="0">
      <selection activeCell="D5" sqref="D5"/>
    </sheetView>
  </sheetViews>
  <sheetFormatPr defaultColWidth="11.42578125" defaultRowHeight="15" x14ac:dyDescent="0.25"/>
  <cols>
    <col min="1" max="1" width="25.28515625" style="19" bestFit="1" customWidth="1"/>
    <col min="2" max="2" width="37.140625" style="19" bestFit="1" customWidth="1"/>
    <col min="3" max="3" width="6.85546875" style="19" customWidth="1"/>
    <col min="4" max="4" width="19.5703125" style="19" bestFit="1" customWidth="1"/>
    <col min="5" max="5" width="21.42578125" style="19" bestFit="1" customWidth="1"/>
    <col min="6" max="6" width="18.28515625" style="20" bestFit="1" customWidth="1"/>
    <col min="7" max="7" width="19.5703125" style="19" bestFit="1" customWidth="1"/>
    <col min="8" max="8" width="20.85546875" style="2" bestFit="1" customWidth="1"/>
    <col min="9" max="9" width="44.5703125" style="2" bestFit="1" customWidth="1"/>
    <col min="10" max="16384" width="11.42578125" style="2"/>
  </cols>
  <sheetData>
    <row r="1" spans="1:9" ht="18.75" x14ac:dyDescent="0.25">
      <c r="A1" s="22" t="s">
        <v>0</v>
      </c>
      <c r="B1" s="22" t="s">
        <v>1</v>
      </c>
      <c r="C1" s="22" t="s">
        <v>3</v>
      </c>
      <c r="D1" s="22" t="s">
        <v>14</v>
      </c>
      <c r="E1" s="22" t="s">
        <v>25</v>
      </c>
      <c r="F1" s="22" t="s">
        <v>13</v>
      </c>
      <c r="G1" s="22" t="s">
        <v>37</v>
      </c>
      <c r="H1" s="22" t="s">
        <v>38</v>
      </c>
      <c r="I1" s="1" t="s">
        <v>164</v>
      </c>
    </row>
    <row r="2" spans="1:9" x14ac:dyDescent="0.25">
      <c r="A2" s="19" t="s">
        <v>165</v>
      </c>
      <c r="B2" s="19" t="s">
        <v>137</v>
      </c>
      <c r="C2" s="19" t="s">
        <v>166</v>
      </c>
      <c r="D2" s="23" t="s">
        <v>26</v>
      </c>
      <c r="E2" s="23"/>
      <c r="F2" s="23" t="s">
        <v>15</v>
      </c>
      <c r="G2" s="20" t="s">
        <v>117</v>
      </c>
      <c r="H2" s="20" t="s">
        <v>96</v>
      </c>
      <c r="I2" s="2" t="str">
        <f>"dicCredenciales(" &amp; CHAR(34) &amp; A2 &amp; CHAR(34) &amp; ").ToString"</f>
        <v>dicCredenciales("ApiMAID").ToString</v>
      </c>
    </row>
    <row r="3" spans="1:9" x14ac:dyDescent="0.25">
      <c r="A3" s="19" t="s">
        <v>167</v>
      </c>
      <c r="B3" s="19" t="s">
        <v>138</v>
      </c>
      <c r="C3" s="19" t="s">
        <v>168</v>
      </c>
      <c r="D3" s="23" t="s">
        <v>26</v>
      </c>
      <c r="E3" s="23"/>
      <c r="F3" s="23" t="s">
        <v>15</v>
      </c>
      <c r="G3" s="20" t="s">
        <v>117</v>
      </c>
      <c r="H3" s="20" t="s">
        <v>96</v>
      </c>
      <c r="I3" s="2" t="str">
        <f t="shared" ref="I3:I7" si="0">"dicCredenciales(" &amp; CHAR(34) &amp; A3 &amp; CHAR(34) &amp; ").ToString"</f>
        <v>dicCredenciales("ClientMAID").ToString</v>
      </c>
    </row>
    <row r="4" spans="1:9" x14ac:dyDescent="0.25">
      <c r="A4" s="18" t="s">
        <v>120</v>
      </c>
      <c r="B4" s="18" t="s">
        <v>119</v>
      </c>
      <c r="C4" s="18" t="s">
        <v>139</v>
      </c>
      <c r="D4" s="23" t="s">
        <v>26</v>
      </c>
      <c r="E4" s="23"/>
      <c r="F4" s="23" t="s">
        <v>15</v>
      </c>
      <c r="G4" s="20" t="s">
        <v>117</v>
      </c>
      <c r="H4" s="20" t="s">
        <v>84</v>
      </c>
      <c r="I4" s="2" t="str">
        <f t="shared" si="0"/>
        <v>dicCredenciales("CorreoRobot").ToString</v>
      </c>
    </row>
    <row r="5" spans="1:9" x14ac:dyDescent="0.25">
      <c r="A5" s="18" t="s">
        <v>158</v>
      </c>
      <c r="B5" s="18" t="s">
        <v>159</v>
      </c>
      <c r="C5" s="18" t="s">
        <v>160</v>
      </c>
      <c r="D5" s="23" t="s">
        <v>26</v>
      </c>
      <c r="E5" s="23"/>
      <c r="F5" s="23" t="s">
        <v>15</v>
      </c>
      <c r="G5" s="20" t="s">
        <v>117</v>
      </c>
      <c r="H5" s="20" t="s">
        <v>84</v>
      </c>
      <c r="I5" s="2" t="str">
        <f t="shared" si="0"/>
        <v>dicCredenciales("AppWeb").ToString</v>
      </c>
    </row>
    <row r="6" spans="1:9" x14ac:dyDescent="0.25">
      <c r="A6" s="18" t="s">
        <v>161</v>
      </c>
      <c r="B6" s="18" t="s">
        <v>162</v>
      </c>
      <c r="C6" s="18" t="s">
        <v>163</v>
      </c>
      <c r="D6" s="23" t="s">
        <v>26</v>
      </c>
      <c r="E6" s="23"/>
      <c r="F6" s="23" t="s">
        <v>15</v>
      </c>
      <c r="G6" s="20" t="s">
        <v>117</v>
      </c>
      <c r="H6" s="20" t="s">
        <v>84</v>
      </c>
      <c r="I6" s="2" t="str">
        <f t="shared" si="0"/>
        <v>dicCredenciales("CertificadoAppWeb").ToString</v>
      </c>
    </row>
    <row r="7" spans="1:9" x14ac:dyDescent="0.25">
      <c r="A7" s="18" t="s">
        <v>132</v>
      </c>
      <c r="B7" s="19" t="s">
        <v>133</v>
      </c>
      <c r="C7" s="19" t="s">
        <v>134</v>
      </c>
      <c r="D7" s="23" t="s">
        <v>26</v>
      </c>
      <c r="E7" s="23"/>
      <c r="F7" s="23" t="s">
        <v>15</v>
      </c>
      <c r="G7" s="20" t="s">
        <v>117</v>
      </c>
      <c r="H7" s="20" t="s">
        <v>84</v>
      </c>
      <c r="I7" s="2" t="str">
        <f t="shared" si="0"/>
        <v>dicCredenciales("AccesoBaseDatos").ToString</v>
      </c>
    </row>
    <row r="8" spans="1:9" x14ac:dyDescent="0.25">
      <c r="D8" s="23"/>
      <c r="E8" s="23"/>
      <c r="G8" s="23"/>
    </row>
    <row r="9" spans="1:9" x14ac:dyDescent="0.25">
      <c r="D9" s="23"/>
      <c r="E9" s="23"/>
      <c r="G9" s="23"/>
    </row>
    <row r="10" spans="1:9" x14ac:dyDescent="0.25">
      <c r="D10" s="23"/>
      <c r="E10" s="23"/>
      <c r="G10" s="23"/>
    </row>
    <row r="11" spans="1:9" x14ac:dyDescent="0.25">
      <c r="D11" s="23"/>
      <c r="E11" s="23"/>
      <c r="G11" s="23"/>
    </row>
    <row r="12" spans="1:9" x14ac:dyDescent="0.25">
      <c r="D12" s="23"/>
      <c r="E12" s="23"/>
      <c r="G12" s="23"/>
    </row>
    <row r="13" spans="1:9" x14ac:dyDescent="0.25">
      <c r="D13" s="23"/>
      <c r="E13" s="23"/>
      <c r="G13" s="23"/>
    </row>
    <row r="14" spans="1:9" x14ac:dyDescent="0.25">
      <c r="D14" s="23"/>
      <c r="E14" s="23"/>
      <c r="G14" s="23"/>
    </row>
    <row r="15" spans="1:9" x14ac:dyDescent="0.25">
      <c r="D15" s="23"/>
      <c r="E15" s="23"/>
      <c r="G15" s="23"/>
    </row>
    <row r="16" spans="1:9" x14ac:dyDescent="0.25">
      <c r="D16" s="23"/>
      <c r="E16" s="23"/>
      <c r="G16" s="23"/>
    </row>
    <row r="17" spans="4:7" x14ac:dyDescent="0.25">
      <c r="D17" s="23"/>
      <c r="E17" s="23"/>
      <c r="G17" s="23"/>
    </row>
    <row r="18" spans="4:7" x14ac:dyDescent="0.25">
      <c r="D18" s="23"/>
      <c r="E18" s="23"/>
      <c r="G18" s="23"/>
    </row>
    <row r="19" spans="4:7" x14ac:dyDescent="0.25">
      <c r="D19" s="23"/>
      <c r="E19" s="23"/>
      <c r="G19" s="23"/>
    </row>
    <row r="20" spans="4:7" x14ac:dyDescent="0.25">
      <c r="D20" s="23"/>
      <c r="E20" s="23"/>
      <c r="G20" s="23"/>
    </row>
    <row r="21" spans="4:7" x14ac:dyDescent="0.25">
      <c r="D21" s="23"/>
      <c r="E21" s="23"/>
      <c r="G21" s="23"/>
    </row>
    <row r="22" spans="4:7" x14ac:dyDescent="0.25">
      <c r="D22" s="23"/>
      <c r="E22" s="23"/>
      <c r="G22" s="23"/>
    </row>
  </sheetData>
  <sheetProtection formatCells="0" formatColumns="0" formatRows="0" sort="0" autoFilter="0"/>
  <autoFilter ref="A1:G7" xr:uid="{4BB70E49-C8C0-4F68-8FAB-1C5D9B8EB1C4}">
    <sortState xmlns:xlrd2="http://schemas.microsoft.com/office/spreadsheetml/2017/richdata2" ref="A2:G7">
      <sortCondition ref="F1:F7"/>
    </sortState>
  </autoFilter>
  <conditionalFormatting sqref="A1:A1048576">
    <cfRule type="duplicateValues" dxfId="5" priority="2"/>
  </conditionalFormatting>
  <conditionalFormatting sqref="A1:G1">
    <cfRule type="duplicateValues" dxfId="4" priority="3"/>
  </conditionalFormatting>
  <conditionalFormatting sqref="I1">
    <cfRule type="duplicateValues" dxfId="3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F75328-6766-4271-BDA7-27C36832BD96}">
          <x14:formula1>
            <xm:f>Constants!$B$19:$B$26</xm:f>
          </x14:formula1>
          <xm:sqref>F2:F1048576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FB8D-315F-42BA-B7EB-0F252428AC2E}">
  <dimension ref="A1:M58"/>
  <sheetViews>
    <sheetView zoomScaleNormal="100" workbookViewId="0">
      <selection activeCell="C9" sqref="C9"/>
    </sheetView>
  </sheetViews>
  <sheetFormatPr defaultColWidth="11.42578125" defaultRowHeight="15" x14ac:dyDescent="0.25"/>
  <cols>
    <col min="1" max="1" width="13.42578125" style="39" bestFit="1" customWidth="1"/>
    <col min="2" max="2" width="19.5703125" style="40" bestFit="1" customWidth="1"/>
    <col min="3" max="3" width="19" style="32" bestFit="1" customWidth="1"/>
    <col min="4" max="4" width="19.5703125" style="32" bestFit="1" customWidth="1"/>
    <col min="5" max="5" width="21.42578125" style="32" bestFit="1" customWidth="1"/>
    <col min="6" max="6" width="18.28515625" style="32" bestFit="1" customWidth="1"/>
    <col min="7" max="7" width="19.5703125" style="41" bestFit="1" customWidth="1"/>
    <col min="8" max="8" width="28.7109375" style="40" bestFit="1" customWidth="1"/>
    <col min="9" max="9" width="19" style="32" bestFit="1" customWidth="1"/>
    <col min="10" max="10" width="19.5703125" style="32" bestFit="1" customWidth="1"/>
    <col min="11" max="11" width="21.42578125" style="32" bestFit="1" customWidth="1"/>
    <col min="12" max="12" width="18.28515625" style="32" bestFit="1" customWidth="1"/>
    <col min="13" max="13" width="19.5703125" style="41" bestFit="1" customWidth="1"/>
    <col min="14" max="16384" width="11.42578125" style="29"/>
  </cols>
  <sheetData>
    <row r="1" spans="1:13" ht="18.75" x14ac:dyDescent="0.3">
      <c r="A1" s="29"/>
      <c r="B1" s="42" t="s">
        <v>145</v>
      </c>
      <c r="C1" s="43"/>
      <c r="D1" s="43"/>
      <c r="E1" s="43"/>
      <c r="F1" s="43"/>
      <c r="G1" s="44"/>
      <c r="H1" s="45" t="s">
        <v>146</v>
      </c>
      <c r="I1" s="46"/>
      <c r="J1" s="46"/>
      <c r="K1" s="46"/>
      <c r="L1" s="46"/>
      <c r="M1" s="47"/>
    </row>
    <row r="2" spans="1:13" s="32" customFormat="1" ht="18.75" x14ac:dyDescent="0.25">
      <c r="A2" s="22" t="s">
        <v>147</v>
      </c>
      <c r="B2" s="30" t="s">
        <v>148</v>
      </c>
      <c r="C2" s="22" t="s">
        <v>3</v>
      </c>
      <c r="D2" s="22" t="s">
        <v>14</v>
      </c>
      <c r="E2" s="22" t="s">
        <v>25</v>
      </c>
      <c r="F2" s="22" t="s">
        <v>13</v>
      </c>
      <c r="G2" s="31" t="s">
        <v>37</v>
      </c>
      <c r="H2" s="30" t="s">
        <v>149</v>
      </c>
      <c r="I2" s="22" t="s">
        <v>3</v>
      </c>
      <c r="J2" s="22" t="s">
        <v>14</v>
      </c>
      <c r="K2" s="22" t="s">
        <v>25</v>
      </c>
      <c r="L2" s="22" t="s">
        <v>13</v>
      </c>
      <c r="M2" s="31" t="s">
        <v>37</v>
      </c>
    </row>
    <row r="3" spans="1:13" x14ac:dyDescent="0.25">
      <c r="A3" s="33" t="s">
        <v>150</v>
      </c>
      <c r="B3" s="34"/>
      <c r="C3" s="35"/>
      <c r="D3" s="36"/>
      <c r="E3" s="36"/>
      <c r="F3" s="36"/>
      <c r="G3" s="37"/>
      <c r="H3" s="34"/>
      <c r="I3" s="36"/>
      <c r="J3" s="36"/>
      <c r="K3" s="36"/>
      <c r="L3" s="36"/>
      <c r="M3" s="37"/>
    </row>
    <row r="4" spans="1:13" x14ac:dyDescent="0.25">
      <c r="A4" s="33" t="s">
        <v>151</v>
      </c>
      <c r="B4" s="34"/>
      <c r="C4" s="35"/>
      <c r="D4" s="36"/>
      <c r="E4" s="36"/>
      <c r="F4" s="36"/>
      <c r="G4" s="37"/>
      <c r="H4" s="34"/>
      <c r="I4" s="36"/>
      <c r="J4" s="36"/>
      <c r="K4" s="36"/>
      <c r="L4" s="36"/>
      <c r="M4" s="37"/>
    </row>
    <row r="5" spans="1:13" x14ac:dyDescent="0.25">
      <c r="A5" s="33" t="s">
        <v>152</v>
      </c>
      <c r="B5" s="34"/>
      <c r="C5" s="35"/>
      <c r="D5" s="36"/>
      <c r="E5" s="36"/>
      <c r="F5" s="36"/>
      <c r="G5" s="37"/>
      <c r="H5" s="34"/>
      <c r="I5" s="36"/>
      <c r="J5" s="36"/>
      <c r="K5" s="36"/>
      <c r="L5" s="36"/>
      <c r="M5" s="37"/>
    </row>
    <row r="6" spans="1:13" x14ac:dyDescent="0.25">
      <c r="A6" s="33"/>
      <c r="B6" s="38"/>
      <c r="C6" s="36"/>
      <c r="D6" s="36"/>
      <c r="E6" s="36"/>
      <c r="F6" s="36"/>
      <c r="G6" s="37"/>
      <c r="H6" s="38"/>
      <c r="I6" s="36"/>
      <c r="J6" s="36"/>
      <c r="K6" s="36"/>
      <c r="L6" s="36"/>
      <c r="M6" s="37"/>
    </row>
    <row r="7" spans="1:13" x14ac:dyDescent="0.25">
      <c r="A7" s="33"/>
      <c r="B7" s="38"/>
      <c r="C7" s="36"/>
      <c r="D7" s="36"/>
      <c r="E7" s="36"/>
      <c r="F7" s="36"/>
      <c r="G7" s="37"/>
      <c r="H7" s="34"/>
      <c r="I7" s="36"/>
      <c r="J7" s="36"/>
      <c r="K7" s="36"/>
      <c r="L7" s="36"/>
      <c r="M7" s="37"/>
    </row>
    <row r="8" spans="1:13" x14ac:dyDescent="0.25">
      <c r="A8" s="33"/>
      <c r="B8" s="34"/>
      <c r="C8" s="36"/>
      <c r="D8" s="36"/>
      <c r="E8" s="36"/>
      <c r="F8" s="36"/>
      <c r="G8" s="37"/>
      <c r="H8" s="34"/>
      <c r="I8" s="36"/>
      <c r="J8" s="36"/>
      <c r="K8" s="36"/>
      <c r="L8" s="36"/>
      <c r="M8" s="37"/>
    </row>
    <row r="9" spans="1:13" x14ac:dyDescent="0.25">
      <c r="A9" s="33"/>
      <c r="B9" s="34"/>
      <c r="C9" s="36"/>
      <c r="D9" s="36"/>
      <c r="E9" s="36"/>
      <c r="F9" s="36"/>
      <c r="G9" s="37"/>
      <c r="H9" s="34"/>
      <c r="I9" s="36"/>
      <c r="J9" s="36"/>
      <c r="K9" s="36"/>
      <c r="L9" s="36"/>
      <c r="M9" s="37"/>
    </row>
    <row r="10" spans="1:13" x14ac:dyDescent="0.25">
      <c r="A10" s="33"/>
      <c r="B10" s="34"/>
      <c r="C10" s="36"/>
      <c r="D10" s="36"/>
      <c r="E10" s="36"/>
      <c r="F10" s="36"/>
      <c r="G10" s="37"/>
      <c r="H10" s="38"/>
      <c r="I10" s="36"/>
      <c r="J10" s="36"/>
      <c r="K10" s="36"/>
      <c r="L10" s="36"/>
      <c r="M10" s="37"/>
    </row>
    <row r="11" spans="1:13" x14ac:dyDescent="0.25">
      <c r="A11" s="33"/>
      <c r="B11" s="34"/>
      <c r="C11" s="36"/>
      <c r="D11" s="36"/>
      <c r="E11" s="36"/>
      <c r="F11" s="36"/>
      <c r="G11" s="37"/>
      <c r="H11" s="34"/>
      <c r="I11" s="36"/>
      <c r="J11" s="36"/>
      <c r="K11" s="36"/>
      <c r="L11" s="36"/>
      <c r="M11" s="37"/>
    </row>
    <row r="12" spans="1:13" x14ac:dyDescent="0.25">
      <c r="A12" s="33"/>
      <c r="B12" s="34"/>
      <c r="C12" s="36"/>
      <c r="D12" s="36"/>
      <c r="E12" s="36"/>
      <c r="F12" s="36"/>
      <c r="G12" s="37"/>
      <c r="H12" s="34"/>
      <c r="I12" s="36"/>
      <c r="J12" s="36"/>
      <c r="K12" s="36"/>
      <c r="L12" s="36"/>
      <c r="M12" s="37"/>
    </row>
    <row r="13" spans="1:13" x14ac:dyDescent="0.25">
      <c r="A13" s="33"/>
      <c r="B13" s="34"/>
      <c r="C13" s="36"/>
      <c r="D13" s="36"/>
      <c r="E13" s="36"/>
      <c r="F13" s="36"/>
      <c r="G13" s="37"/>
      <c r="H13" s="34"/>
      <c r="I13" s="36"/>
      <c r="J13" s="36"/>
      <c r="K13" s="36"/>
      <c r="L13" s="36"/>
      <c r="M13" s="37"/>
    </row>
    <row r="14" spans="1:13" x14ac:dyDescent="0.25">
      <c r="A14" s="33"/>
      <c r="B14" s="34"/>
      <c r="C14" s="36"/>
      <c r="D14" s="36"/>
      <c r="E14" s="36"/>
      <c r="F14" s="36"/>
      <c r="G14" s="37"/>
      <c r="H14" s="34"/>
      <c r="I14" s="36"/>
      <c r="J14" s="36"/>
      <c r="K14" s="36"/>
      <c r="L14" s="36"/>
      <c r="M14" s="37"/>
    </row>
    <row r="15" spans="1:13" x14ac:dyDescent="0.25">
      <c r="A15" s="33"/>
      <c r="B15" s="34"/>
      <c r="C15" s="36"/>
      <c r="D15" s="36"/>
      <c r="E15" s="36"/>
      <c r="F15" s="36"/>
      <c r="G15" s="37"/>
      <c r="H15" s="34"/>
      <c r="I15" s="36"/>
      <c r="J15" s="36"/>
      <c r="K15" s="36"/>
      <c r="L15" s="36"/>
      <c r="M15" s="37"/>
    </row>
    <row r="16" spans="1:13" x14ac:dyDescent="0.25">
      <c r="A16" s="33"/>
      <c r="B16" s="34"/>
      <c r="C16" s="36"/>
      <c r="D16" s="36"/>
      <c r="E16" s="36"/>
      <c r="F16" s="36"/>
      <c r="G16" s="37"/>
      <c r="H16" s="34"/>
      <c r="I16" s="36"/>
      <c r="J16" s="36"/>
      <c r="K16" s="36"/>
      <c r="L16" s="36"/>
      <c r="M16" s="37"/>
    </row>
    <row r="17" spans="1:13" x14ac:dyDescent="0.25">
      <c r="A17" s="33"/>
      <c r="B17" s="34"/>
      <c r="C17" s="36"/>
      <c r="D17" s="36"/>
      <c r="E17" s="36"/>
      <c r="F17" s="36"/>
      <c r="G17" s="37"/>
      <c r="H17" s="34"/>
      <c r="I17" s="36"/>
      <c r="J17" s="36"/>
      <c r="K17" s="36"/>
      <c r="L17" s="36"/>
      <c r="M17" s="37"/>
    </row>
    <row r="18" spans="1:13" x14ac:dyDescent="0.25">
      <c r="A18" s="33"/>
      <c r="B18" s="34"/>
      <c r="C18" s="36"/>
      <c r="D18" s="36"/>
      <c r="E18" s="36"/>
      <c r="F18" s="36"/>
      <c r="G18" s="37"/>
      <c r="H18" s="34"/>
      <c r="I18" s="36"/>
      <c r="J18" s="36"/>
      <c r="K18" s="36"/>
      <c r="L18" s="36"/>
      <c r="M18" s="37"/>
    </row>
    <row r="19" spans="1:13" x14ac:dyDescent="0.25">
      <c r="A19" s="33"/>
      <c r="B19" s="34"/>
      <c r="C19" s="36"/>
      <c r="D19" s="36"/>
      <c r="E19" s="36"/>
      <c r="F19" s="36"/>
      <c r="G19" s="37"/>
      <c r="H19" s="34"/>
      <c r="I19" s="36"/>
      <c r="J19" s="36"/>
      <c r="K19" s="36"/>
      <c r="L19" s="36"/>
      <c r="M19" s="37"/>
    </row>
    <row r="20" spans="1:13" x14ac:dyDescent="0.25">
      <c r="A20" s="33"/>
      <c r="B20" s="34"/>
      <c r="C20" s="36"/>
      <c r="D20" s="36"/>
      <c r="E20" s="36"/>
      <c r="F20" s="36"/>
      <c r="G20" s="37"/>
      <c r="H20" s="34"/>
      <c r="I20" s="36"/>
      <c r="J20" s="36"/>
      <c r="K20" s="36"/>
      <c r="L20" s="36"/>
      <c r="M20" s="37"/>
    </row>
    <row r="21" spans="1:13" x14ac:dyDescent="0.25">
      <c r="A21" s="33"/>
      <c r="B21" s="34"/>
      <c r="C21" s="36"/>
      <c r="D21" s="36"/>
      <c r="E21" s="36"/>
      <c r="F21" s="36"/>
      <c r="G21" s="37"/>
      <c r="H21" s="34"/>
      <c r="I21" s="36"/>
      <c r="J21" s="36"/>
      <c r="K21" s="36"/>
      <c r="L21" s="36"/>
      <c r="M21" s="37"/>
    </row>
    <row r="22" spans="1:13" x14ac:dyDescent="0.25">
      <c r="A22" s="33"/>
      <c r="B22" s="34"/>
      <c r="C22" s="36"/>
      <c r="D22" s="36"/>
      <c r="E22" s="36"/>
      <c r="F22" s="36"/>
      <c r="G22" s="37"/>
      <c r="H22" s="34"/>
      <c r="I22" s="36"/>
      <c r="J22" s="36"/>
      <c r="K22" s="36"/>
      <c r="L22" s="36"/>
      <c r="M22" s="37"/>
    </row>
    <row r="23" spans="1:13" x14ac:dyDescent="0.25">
      <c r="A23" s="33"/>
      <c r="B23" s="34"/>
      <c r="C23" s="36"/>
      <c r="D23" s="36"/>
      <c r="E23" s="36"/>
      <c r="F23" s="36"/>
      <c r="G23" s="37"/>
      <c r="H23" s="34"/>
      <c r="I23" s="36"/>
      <c r="J23" s="36"/>
      <c r="K23" s="36"/>
      <c r="L23" s="36"/>
      <c r="M23" s="37"/>
    </row>
    <row r="24" spans="1:13" x14ac:dyDescent="0.25">
      <c r="A24" s="33"/>
      <c r="B24" s="34"/>
      <c r="C24" s="36"/>
      <c r="D24" s="36"/>
      <c r="E24" s="36"/>
      <c r="F24" s="36"/>
      <c r="G24" s="37"/>
      <c r="H24" s="34"/>
      <c r="I24" s="36"/>
      <c r="J24" s="36"/>
      <c r="K24" s="36"/>
      <c r="L24" s="36"/>
      <c r="M24" s="37"/>
    </row>
    <row r="25" spans="1:13" x14ac:dyDescent="0.25">
      <c r="A25" s="33"/>
      <c r="B25" s="34"/>
      <c r="C25" s="36"/>
      <c r="D25" s="36"/>
      <c r="E25" s="36"/>
      <c r="F25" s="36"/>
      <c r="G25" s="37"/>
      <c r="H25" s="34"/>
      <c r="I25" s="36"/>
      <c r="J25" s="36"/>
      <c r="K25" s="36"/>
      <c r="L25" s="36"/>
      <c r="M25" s="37"/>
    </row>
    <row r="26" spans="1:13" x14ac:dyDescent="0.25">
      <c r="A26" s="33"/>
      <c r="B26" s="34"/>
      <c r="C26" s="36"/>
      <c r="D26" s="36"/>
      <c r="E26" s="36"/>
      <c r="F26" s="36"/>
      <c r="G26" s="37"/>
      <c r="H26" s="34"/>
      <c r="I26" s="36"/>
      <c r="J26" s="36"/>
      <c r="K26" s="36"/>
      <c r="L26" s="36"/>
      <c r="M26" s="37"/>
    </row>
    <row r="27" spans="1:13" x14ac:dyDescent="0.25">
      <c r="A27" s="33"/>
      <c r="B27" s="34"/>
      <c r="C27" s="36"/>
      <c r="D27" s="36"/>
      <c r="E27" s="36"/>
      <c r="F27" s="36"/>
      <c r="G27" s="37"/>
      <c r="H27" s="34"/>
      <c r="I27" s="36"/>
      <c r="J27" s="36"/>
      <c r="K27" s="36"/>
      <c r="L27" s="36"/>
      <c r="M27" s="37"/>
    </row>
    <row r="28" spans="1:13" x14ac:dyDescent="0.25">
      <c r="A28" s="33"/>
      <c r="B28" s="34"/>
      <c r="C28" s="36"/>
      <c r="D28" s="36"/>
      <c r="E28" s="36"/>
      <c r="F28" s="36"/>
      <c r="G28" s="37"/>
      <c r="H28" s="34"/>
      <c r="I28" s="36"/>
      <c r="J28" s="36"/>
      <c r="K28" s="36"/>
      <c r="L28" s="36"/>
      <c r="M28" s="37"/>
    </row>
    <row r="29" spans="1:13" x14ac:dyDescent="0.25">
      <c r="A29" s="33"/>
      <c r="B29" s="34"/>
      <c r="C29" s="36"/>
      <c r="D29" s="36"/>
      <c r="E29" s="36"/>
      <c r="F29" s="36"/>
      <c r="G29" s="37"/>
      <c r="H29" s="34"/>
      <c r="I29" s="36"/>
      <c r="J29" s="36"/>
      <c r="K29" s="36"/>
      <c r="L29" s="36"/>
      <c r="M29" s="37"/>
    </row>
    <row r="30" spans="1:13" x14ac:dyDescent="0.25">
      <c r="A30" s="33"/>
      <c r="B30" s="34"/>
      <c r="C30" s="36"/>
      <c r="D30" s="36"/>
      <c r="E30" s="36"/>
      <c r="F30" s="36"/>
      <c r="G30" s="37"/>
      <c r="H30" s="34"/>
      <c r="I30" s="36"/>
      <c r="J30" s="36"/>
      <c r="K30" s="36"/>
      <c r="L30" s="36"/>
      <c r="M30" s="37"/>
    </row>
    <row r="31" spans="1:13" x14ac:dyDescent="0.25">
      <c r="A31" s="33"/>
      <c r="B31" s="34"/>
      <c r="C31" s="36"/>
      <c r="D31" s="36"/>
      <c r="E31" s="36"/>
      <c r="F31" s="36"/>
      <c r="G31" s="37"/>
      <c r="H31" s="34"/>
      <c r="I31" s="36"/>
      <c r="J31" s="36"/>
      <c r="K31" s="36"/>
      <c r="L31" s="36"/>
      <c r="M31" s="37"/>
    </row>
    <row r="32" spans="1:13" x14ac:dyDescent="0.25">
      <c r="A32" s="33"/>
      <c r="B32" s="34"/>
      <c r="C32" s="36"/>
      <c r="D32" s="36"/>
      <c r="E32" s="36"/>
      <c r="F32" s="36"/>
      <c r="G32" s="37"/>
      <c r="H32" s="34"/>
      <c r="I32" s="36"/>
      <c r="J32" s="36"/>
      <c r="K32" s="36"/>
      <c r="L32" s="36"/>
      <c r="M32" s="37"/>
    </row>
    <row r="33" spans="1:13" x14ac:dyDescent="0.25">
      <c r="A33" s="33"/>
      <c r="B33" s="34"/>
      <c r="C33" s="36"/>
      <c r="D33" s="36"/>
      <c r="E33" s="36"/>
      <c r="F33" s="36"/>
      <c r="G33" s="37"/>
      <c r="H33" s="34"/>
      <c r="I33" s="36"/>
      <c r="J33" s="36"/>
      <c r="K33" s="36"/>
      <c r="L33" s="36"/>
      <c r="M33" s="37"/>
    </row>
    <row r="34" spans="1:13" x14ac:dyDescent="0.25">
      <c r="A34" s="33"/>
      <c r="B34" s="34"/>
      <c r="C34" s="36"/>
      <c r="D34" s="36"/>
      <c r="E34" s="36"/>
      <c r="F34" s="36"/>
      <c r="G34" s="37"/>
      <c r="H34" s="34"/>
      <c r="I34" s="36"/>
      <c r="J34" s="36"/>
      <c r="K34" s="36"/>
      <c r="L34" s="36"/>
      <c r="M34" s="37"/>
    </row>
    <row r="35" spans="1:13" x14ac:dyDescent="0.25">
      <c r="A35" s="33"/>
      <c r="B35" s="34"/>
      <c r="C35" s="36"/>
      <c r="D35" s="36"/>
      <c r="E35" s="36"/>
      <c r="F35" s="36"/>
      <c r="G35" s="37"/>
      <c r="H35" s="34"/>
      <c r="I35" s="36"/>
      <c r="J35" s="36"/>
      <c r="K35" s="36"/>
      <c r="L35" s="36"/>
      <c r="M35" s="37"/>
    </row>
    <row r="36" spans="1:13" x14ac:dyDescent="0.25">
      <c r="A36" s="33"/>
      <c r="B36" s="34"/>
      <c r="C36" s="36"/>
      <c r="D36" s="36"/>
      <c r="E36" s="36"/>
      <c r="F36" s="36"/>
      <c r="G36" s="37"/>
      <c r="H36" s="34"/>
      <c r="I36" s="36"/>
      <c r="J36" s="36"/>
      <c r="K36" s="36"/>
      <c r="L36" s="36"/>
      <c r="M36" s="37"/>
    </row>
    <row r="37" spans="1:13" x14ac:dyDescent="0.25">
      <c r="A37" s="33"/>
      <c r="B37" s="34"/>
      <c r="C37" s="36"/>
      <c r="D37" s="36"/>
      <c r="E37" s="36"/>
      <c r="F37" s="36"/>
      <c r="G37" s="37"/>
      <c r="H37" s="34"/>
      <c r="I37" s="36"/>
      <c r="J37" s="36"/>
      <c r="K37" s="36"/>
      <c r="L37" s="36"/>
      <c r="M37" s="37"/>
    </row>
    <row r="38" spans="1:13" x14ac:dyDescent="0.25">
      <c r="A38" s="33"/>
      <c r="B38" s="34"/>
      <c r="C38" s="36"/>
      <c r="D38" s="36"/>
      <c r="E38" s="36"/>
      <c r="F38" s="36"/>
      <c r="G38" s="37"/>
      <c r="H38" s="34"/>
      <c r="I38" s="36"/>
      <c r="J38" s="36"/>
      <c r="K38" s="36"/>
      <c r="L38" s="36"/>
      <c r="M38" s="37"/>
    </row>
    <row r="39" spans="1:13" x14ac:dyDescent="0.25">
      <c r="A39" s="33"/>
      <c r="B39" s="34"/>
      <c r="C39" s="36"/>
      <c r="D39" s="36"/>
      <c r="E39" s="36"/>
      <c r="F39" s="36"/>
      <c r="G39" s="37"/>
      <c r="H39" s="34"/>
      <c r="I39" s="36"/>
      <c r="J39" s="36"/>
      <c r="K39" s="36"/>
      <c r="L39" s="36"/>
      <c r="M39" s="37"/>
    </row>
    <row r="40" spans="1:13" x14ac:dyDescent="0.25">
      <c r="A40" s="33"/>
      <c r="B40" s="34"/>
      <c r="C40" s="36"/>
      <c r="D40" s="36"/>
      <c r="E40" s="36"/>
      <c r="F40" s="36"/>
      <c r="G40" s="37"/>
      <c r="H40" s="34"/>
      <c r="I40" s="36"/>
      <c r="J40" s="36"/>
      <c r="K40" s="36"/>
      <c r="L40" s="36"/>
      <c r="M40" s="37"/>
    </row>
    <row r="41" spans="1:13" x14ac:dyDescent="0.25">
      <c r="A41" s="33"/>
      <c r="B41" s="34"/>
      <c r="C41" s="36"/>
      <c r="D41" s="36"/>
      <c r="E41" s="36"/>
      <c r="F41" s="36"/>
      <c r="G41" s="37"/>
      <c r="H41" s="34"/>
      <c r="I41" s="36"/>
      <c r="J41" s="36"/>
      <c r="K41" s="36"/>
      <c r="L41" s="36"/>
      <c r="M41" s="37"/>
    </row>
    <row r="42" spans="1:13" x14ac:dyDescent="0.25">
      <c r="A42" s="33"/>
      <c r="B42" s="34"/>
      <c r="C42" s="36"/>
      <c r="D42" s="36"/>
      <c r="E42" s="36"/>
      <c r="F42" s="36"/>
      <c r="G42" s="37"/>
      <c r="H42" s="34"/>
      <c r="I42" s="36"/>
      <c r="J42" s="36"/>
      <c r="K42" s="36"/>
      <c r="L42" s="36"/>
      <c r="M42" s="37"/>
    </row>
    <row r="43" spans="1:13" x14ac:dyDescent="0.25">
      <c r="A43" s="33"/>
      <c r="B43" s="34"/>
      <c r="C43" s="36"/>
      <c r="D43" s="36"/>
      <c r="E43" s="36"/>
      <c r="F43" s="36"/>
      <c r="G43" s="37"/>
      <c r="H43" s="34"/>
      <c r="I43" s="36"/>
      <c r="J43" s="36"/>
      <c r="K43" s="36"/>
      <c r="L43" s="36"/>
      <c r="M43" s="37"/>
    </row>
    <row r="44" spans="1:13" x14ac:dyDescent="0.25">
      <c r="A44" s="33"/>
      <c r="B44" s="34"/>
      <c r="C44" s="36"/>
      <c r="D44" s="36"/>
      <c r="E44" s="36"/>
      <c r="F44" s="36"/>
      <c r="G44" s="37"/>
      <c r="H44" s="34"/>
      <c r="I44" s="36"/>
      <c r="J44" s="36"/>
      <c r="K44" s="36"/>
      <c r="L44" s="36"/>
      <c r="M44" s="37"/>
    </row>
    <row r="45" spans="1:13" x14ac:dyDescent="0.25">
      <c r="A45" s="33"/>
      <c r="B45" s="34"/>
      <c r="C45" s="36"/>
      <c r="D45" s="36"/>
      <c r="E45" s="36"/>
      <c r="F45" s="36"/>
      <c r="G45" s="37"/>
      <c r="H45" s="34"/>
      <c r="I45" s="36"/>
      <c r="J45" s="36"/>
      <c r="K45" s="36"/>
      <c r="L45" s="36"/>
      <c r="M45" s="37"/>
    </row>
    <row r="46" spans="1:13" x14ac:dyDescent="0.25">
      <c r="A46" s="33"/>
      <c r="B46" s="34"/>
      <c r="C46" s="36"/>
      <c r="D46" s="36"/>
      <c r="E46" s="36"/>
      <c r="F46" s="36"/>
      <c r="G46" s="37"/>
      <c r="H46" s="34"/>
      <c r="I46" s="36"/>
      <c r="J46" s="36"/>
      <c r="K46" s="36"/>
      <c r="L46" s="36"/>
      <c r="M46" s="37"/>
    </row>
    <row r="47" spans="1:13" x14ac:dyDescent="0.25">
      <c r="A47" s="33"/>
      <c r="B47" s="34"/>
      <c r="C47" s="36"/>
      <c r="D47" s="36"/>
      <c r="E47" s="36"/>
      <c r="F47" s="36"/>
      <c r="G47" s="37"/>
      <c r="H47" s="34"/>
      <c r="I47" s="36"/>
      <c r="J47" s="36"/>
      <c r="K47" s="36"/>
      <c r="L47" s="36"/>
      <c r="M47" s="37"/>
    </row>
    <row r="48" spans="1:13" x14ac:dyDescent="0.25">
      <c r="A48" s="33"/>
      <c r="B48" s="34"/>
      <c r="C48" s="36"/>
      <c r="D48" s="36"/>
      <c r="E48" s="36"/>
      <c r="F48" s="36"/>
      <c r="G48" s="37"/>
      <c r="H48" s="34"/>
      <c r="I48" s="36"/>
      <c r="J48" s="36"/>
      <c r="K48" s="36"/>
      <c r="L48" s="36"/>
      <c r="M48" s="37"/>
    </row>
    <row r="49" spans="1:13" x14ac:dyDescent="0.25">
      <c r="A49" s="33"/>
      <c r="B49" s="34"/>
      <c r="C49" s="36"/>
      <c r="D49" s="36"/>
      <c r="E49" s="36"/>
      <c r="F49" s="36"/>
      <c r="G49" s="37"/>
      <c r="H49" s="34"/>
      <c r="I49" s="36"/>
      <c r="J49" s="36"/>
      <c r="K49" s="36"/>
      <c r="L49" s="36"/>
      <c r="M49" s="37"/>
    </row>
    <row r="50" spans="1:13" x14ac:dyDescent="0.25">
      <c r="A50" s="33"/>
      <c r="B50" s="34"/>
      <c r="C50" s="36"/>
      <c r="D50" s="36"/>
      <c r="E50" s="36"/>
      <c r="F50" s="36"/>
      <c r="G50" s="37"/>
      <c r="H50" s="34"/>
      <c r="I50" s="36"/>
      <c r="J50" s="36"/>
      <c r="K50" s="36"/>
      <c r="L50" s="36"/>
      <c r="M50" s="37"/>
    </row>
    <row r="51" spans="1:13" x14ac:dyDescent="0.25">
      <c r="A51" s="33"/>
      <c r="B51" s="34"/>
      <c r="C51" s="36"/>
      <c r="D51" s="36"/>
      <c r="E51" s="36"/>
      <c r="F51" s="36"/>
      <c r="G51" s="37"/>
      <c r="H51" s="34"/>
      <c r="I51" s="36"/>
      <c r="J51" s="36"/>
      <c r="K51" s="36"/>
      <c r="L51" s="36"/>
      <c r="M51" s="37"/>
    </row>
    <row r="52" spans="1:13" x14ac:dyDescent="0.25">
      <c r="A52" s="33"/>
      <c r="B52" s="34"/>
      <c r="C52" s="36"/>
      <c r="D52" s="36"/>
      <c r="E52" s="36"/>
      <c r="F52" s="36"/>
      <c r="G52" s="37"/>
      <c r="H52" s="34"/>
      <c r="I52" s="36"/>
      <c r="J52" s="36"/>
      <c r="K52" s="36"/>
      <c r="L52" s="36"/>
      <c r="M52" s="37"/>
    </row>
    <row r="53" spans="1:13" x14ac:dyDescent="0.25">
      <c r="A53" s="33"/>
      <c r="B53" s="34"/>
      <c r="C53" s="36"/>
      <c r="D53" s="36"/>
      <c r="E53" s="36"/>
      <c r="F53" s="36"/>
      <c r="G53" s="37"/>
      <c r="H53" s="34"/>
      <c r="I53" s="36"/>
      <c r="J53" s="36"/>
      <c r="K53" s="36"/>
      <c r="L53" s="36"/>
      <c r="M53" s="37"/>
    </row>
    <row r="54" spans="1:13" x14ac:dyDescent="0.25">
      <c r="A54" s="33"/>
      <c r="B54" s="34"/>
      <c r="C54" s="36"/>
      <c r="D54" s="36"/>
      <c r="E54" s="36"/>
      <c r="F54" s="36"/>
      <c r="G54" s="37"/>
      <c r="H54" s="34"/>
      <c r="I54" s="36"/>
      <c r="J54" s="36"/>
      <c r="K54" s="36"/>
      <c r="L54" s="36"/>
      <c r="M54" s="37"/>
    </row>
    <row r="55" spans="1:13" x14ac:dyDescent="0.25">
      <c r="A55" s="33"/>
      <c r="B55" s="34"/>
      <c r="C55" s="36"/>
      <c r="D55" s="36"/>
      <c r="E55" s="36"/>
      <c r="F55" s="36"/>
      <c r="G55" s="37"/>
      <c r="H55" s="34"/>
      <c r="I55" s="36"/>
      <c r="J55" s="36"/>
      <c r="K55" s="36"/>
      <c r="L55" s="36"/>
      <c r="M55" s="37"/>
    </row>
    <row r="56" spans="1:13" x14ac:dyDescent="0.25">
      <c r="A56" s="33"/>
      <c r="B56" s="34"/>
      <c r="C56" s="36"/>
      <c r="D56" s="36"/>
      <c r="E56" s="36"/>
      <c r="F56" s="36"/>
      <c r="G56" s="37"/>
      <c r="H56" s="34"/>
      <c r="I56" s="36"/>
      <c r="J56" s="36"/>
      <c r="K56" s="36"/>
      <c r="L56" s="36"/>
      <c r="M56" s="37"/>
    </row>
    <row r="57" spans="1:13" x14ac:dyDescent="0.25">
      <c r="A57" s="33"/>
      <c r="B57" s="34"/>
      <c r="C57" s="36"/>
      <c r="D57" s="36"/>
      <c r="E57" s="36"/>
      <c r="F57" s="36"/>
      <c r="G57" s="37"/>
      <c r="H57" s="34"/>
      <c r="I57" s="36"/>
      <c r="J57" s="36"/>
      <c r="K57" s="36"/>
      <c r="L57" s="36"/>
      <c r="M57" s="37"/>
    </row>
    <row r="58" spans="1:13" x14ac:dyDescent="0.25">
      <c r="A58" s="33"/>
      <c r="B58" s="34"/>
      <c r="C58" s="36"/>
      <c r="D58" s="36"/>
      <c r="E58" s="36"/>
      <c r="F58" s="36"/>
      <c r="G58" s="37"/>
      <c r="H58" s="34"/>
      <c r="I58" s="36"/>
      <c r="J58" s="36"/>
      <c r="K58" s="36"/>
      <c r="L58" s="36"/>
      <c r="M58" s="37"/>
    </row>
  </sheetData>
  <autoFilter ref="A2:M2" xr:uid="{01504E81-5322-4F21-B86A-B68683C445D5}">
    <sortState xmlns:xlrd2="http://schemas.microsoft.com/office/spreadsheetml/2017/richdata2" ref="A3:M15">
      <sortCondition ref="A2"/>
    </sortState>
  </autoFilter>
  <mergeCells count="2">
    <mergeCell ref="B1:G1"/>
    <mergeCell ref="H1:M1"/>
  </mergeCells>
  <conditionalFormatting sqref="B1:B12 B16:B1048576">
    <cfRule type="duplicateValues" dxfId="2" priority="1"/>
  </conditionalFormatting>
  <conditionalFormatting sqref="B13:B15 H22:H23 H1:H12 H29:H30 H36:H37 H43:H44 H50:H51 H57:H1048576">
    <cfRule type="duplicateValues" dxfId="1" priority="2"/>
  </conditionalFormatting>
  <conditionalFormatting sqref="H22:H23 H1:H12 H29:H30 H36:H37 H43:H44 H50:H51 H57:H1048576 B1:B1048576">
    <cfRule type="duplicateValues" dxfId="0" priority="3"/>
  </conditionalFormatting>
  <dataValidations count="1">
    <dataValidation type="list" allowBlank="1" showInputMessage="1" showErrorMessage="1" sqref="A3:A1048576" xr:uid="{F3CD65D3-32F8-4D36-854A-ED21D84075CF}">
      <formula1>"Crear,Editar,Eliminar"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Constants</vt:lpstr>
      <vt:lpstr>AssetsShared</vt:lpstr>
      <vt:lpstr>AssetsUnidadNegocio</vt:lpstr>
      <vt:lpstr>Credenciales</vt:lpstr>
      <vt:lpstr>CRUD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Config File for Robots</dc:title>
  <dc:creator>Jorge A. Falcon A.</dc:creator>
  <cp:lastModifiedBy>Jorge A. Falcon A.</cp:lastModifiedBy>
  <cp:revision>1</cp:revision>
  <dcterms:modified xsi:type="dcterms:W3CDTF">2025-12-03T21:13:39Z</dcterms:modified>
  <dc:language>Spanish</dc:language>
  <cp:version>1</cp:version>
</cp:coreProperties>
</file>